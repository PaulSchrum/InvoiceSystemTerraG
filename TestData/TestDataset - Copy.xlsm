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-48" windowWidth="12516" windowHeight="9120"/>
  </bookViews>
  <sheets>
    <sheet name="Timesheet" sheetId="1" r:id="rId1"/>
    <sheet name="JobNumberKey" sheetId="4" r:id="rId2"/>
    <sheet name="Invoicing" sheetId="5" r:id="rId3"/>
    <sheet name="Rates" sheetId="7" r:id="rId4"/>
    <sheet name="Mileage" sheetId="6" r:id="rId5"/>
    <sheet name="Companies" sheetId="8" r:id="rId6"/>
  </sheets>
  <definedNames>
    <definedName name="_xlnm._FilterDatabase" localSheetId="0" hidden="1">Timesheet!$A$1:$K$7</definedName>
  </definedNames>
  <calcPr calcId="145621"/>
</workbook>
</file>

<file path=xl/calcChain.xml><?xml version="1.0" encoding="utf-8"?>
<calcChain xmlns="http://schemas.openxmlformats.org/spreadsheetml/2006/main">
  <c r="E1272" i="1" l="1"/>
  <c r="E1271" i="1" l="1"/>
  <c r="E1270" i="1"/>
  <c r="E1269" i="1"/>
  <c r="E1267" i="1" l="1"/>
  <c r="E1266" i="1" l="1"/>
  <c r="E1265" i="1"/>
  <c r="E1263" i="1"/>
  <c r="E1264" i="1"/>
  <c r="E1262" i="1"/>
  <c r="E1261" i="1"/>
  <c r="E1260" i="1" l="1"/>
  <c r="B1260" i="1"/>
  <c r="E1259" i="1"/>
  <c r="B1259" i="1"/>
  <c r="E1258" i="1" l="1"/>
  <c r="E1257" i="1" l="1"/>
  <c r="E1256" i="1"/>
  <c r="E9" i="6"/>
  <c r="F9" i="6" s="1"/>
  <c r="E8" i="6"/>
  <c r="F8" i="6" s="1"/>
  <c r="E1255" i="1" l="1"/>
  <c r="E1254" i="1"/>
  <c r="E1253" i="1" l="1"/>
  <c r="F1230" i="1"/>
  <c r="E1251" i="1" l="1"/>
  <c r="F1253" i="1"/>
  <c r="E1249" i="1" l="1"/>
  <c r="E1250" i="1"/>
  <c r="B1249" i="1"/>
  <c r="E1248" i="1"/>
  <c r="B1248" i="1"/>
  <c r="E1247" i="1"/>
  <c r="E1246" i="1"/>
  <c r="E1245" i="1"/>
  <c r="E1244" i="1"/>
  <c r="E1243" i="1"/>
  <c r="E1242" i="1"/>
  <c r="E1241" i="1"/>
  <c r="E1240" i="1"/>
  <c r="E1239" i="1"/>
  <c r="E1231" i="1" l="1"/>
  <c r="E1237" i="1"/>
  <c r="E1236" i="1"/>
  <c r="E1235" i="1"/>
  <c r="E1234" i="1"/>
  <c r="E1233" i="1"/>
  <c r="E1232" i="1"/>
  <c r="E1230" i="1"/>
  <c r="E1229" i="1"/>
  <c r="F1196" i="1"/>
  <c r="E1228" i="1" l="1"/>
  <c r="E1227" i="1"/>
  <c r="E1219" i="1" l="1"/>
  <c r="E1225" i="1"/>
  <c r="E1067" i="1" l="1"/>
  <c r="B1225" i="1"/>
  <c r="E1224" i="1"/>
  <c r="B1224" i="1"/>
  <c r="E1223" i="1"/>
  <c r="E1222" i="1" l="1"/>
  <c r="B1222" i="1"/>
  <c r="E1221" i="1"/>
  <c r="B1221" i="1"/>
  <c r="E1220" i="1"/>
  <c r="E1218" i="1" l="1"/>
  <c r="B1218" i="1"/>
  <c r="E1217" i="1"/>
  <c r="B1217" i="1"/>
  <c r="E1216" i="1"/>
  <c r="B1214" i="1"/>
  <c r="B1213" i="1" l="1"/>
  <c r="E1212" i="1"/>
  <c r="E1211" i="1"/>
  <c r="B1209" i="1" l="1"/>
  <c r="E1209" i="1" s="1"/>
  <c r="E1208" i="1"/>
  <c r="B1208" i="1"/>
  <c r="B1207" i="1"/>
  <c r="E1207" i="1" s="1"/>
  <c r="B1206" i="1"/>
  <c r="E1206" i="1" s="1"/>
  <c r="B1205" i="1"/>
  <c r="E1205" i="1" s="1"/>
  <c r="E1204" i="1"/>
  <c r="E1203" i="1"/>
  <c r="E1201" i="1" l="1"/>
  <c r="E1200" i="1" l="1"/>
  <c r="E1199" i="1"/>
  <c r="E1196" i="1"/>
  <c r="E1198" i="1"/>
  <c r="E1194" i="1"/>
  <c r="E1193" i="1"/>
  <c r="E1191" i="1" l="1"/>
  <c r="E1190" i="1"/>
  <c r="B1190" i="1"/>
  <c r="E1188" i="1"/>
  <c r="E1189" i="1"/>
  <c r="E1186" i="1" l="1"/>
  <c r="E1185" i="1"/>
  <c r="E1184" i="1"/>
  <c r="E1183" i="1"/>
  <c r="E1181" i="1"/>
  <c r="E1180" i="1"/>
  <c r="E1179" i="1"/>
  <c r="B1178" i="1"/>
  <c r="E1178" i="1" s="1"/>
  <c r="E1177" i="1"/>
  <c r="E1176" i="1"/>
  <c r="E1174" i="1" l="1"/>
  <c r="E1173" i="1" l="1"/>
  <c r="E1171" i="1"/>
  <c r="E1172" i="1"/>
  <c r="E1169" i="1"/>
  <c r="B1168" i="1"/>
  <c r="E1168" i="1"/>
  <c r="E1167" i="1"/>
  <c r="E1166" i="1"/>
  <c r="E1165" i="1"/>
  <c r="E1163" i="1"/>
  <c r="B1162" i="1"/>
  <c r="E1162" i="1" s="1"/>
  <c r="E1161" i="1"/>
  <c r="E1160" i="1"/>
  <c r="F1160" i="1" l="1"/>
  <c r="E1158" i="1"/>
  <c r="E1157" i="1"/>
  <c r="E1155" i="1"/>
  <c r="E1154" i="1"/>
  <c r="E1152" i="1"/>
  <c r="E1151" i="1" l="1"/>
  <c r="E1150" i="1" l="1"/>
  <c r="E1144" i="1" l="1"/>
  <c r="E1140" i="1"/>
  <c r="E1139" i="1"/>
  <c r="E1138" i="1"/>
  <c r="E1149" i="1"/>
  <c r="E1148" i="1"/>
  <c r="E1147" i="1"/>
  <c r="E1146" i="1"/>
  <c r="E1145" i="1"/>
  <c r="E1143" i="1"/>
  <c r="E1142" i="1"/>
  <c r="B1137" i="1"/>
  <c r="E1137" i="1" s="1"/>
  <c r="E1136" i="1"/>
  <c r="E1135" i="1"/>
  <c r="E1134" i="1"/>
  <c r="F1142" i="1" l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F1122" i="1" l="1"/>
  <c r="E1111" i="1"/>
  <c r="F1111" i="1" s="1"/>
  <c r="B1088" i="1" l="1"/>
  <c r="E1088" i="1" s="1"/>
  <c r="B1087" i="1" l="1"/>
  <c r="C7" i="6"/>
  <c r="E7" i="6" s="1"/>
  <c r="F7" i="6" s="1"/>
  <c r="E6" i="6"/>
  <c r="F6" i="6" s="1"/>
  <c r="C6" i="6"/>
  <c r="F5" i="6"/>
  <c r="E5" i="6"/>
  <c r="E1110" i="1" l="1"/>
  <c r="E1109" i="1"/>
  <c r="E1108" i="1"/>
  <c r="E1107" i="1"/>
  <c r="E1106" i="1"/>
  <c r="E1105" i="1"/>
  <c r="E1104" i="1"/>
  <c r="E1103" i="1"/>
  <c r="E1102" i="1"/>
  <c r="E1101" i="1"/>
  <c r="E1099" i="1"/>
  <c r="F1099" i="1" s="1"/>
  <c r="E1098" i="1"/>
  <c r="E1097" i="1"/>
  <c r="E1096" i="1"/>
  <c r="E1095" i="1"/>
  <c r="E1094" i="1"/>
  <c r="E1093" i="1"/>
  <c r="E1092" i="1"/>
  <c r="E1090" i="1"/>
  <c r="E1089" i="1"/>
  <c r="E1087" i="1"/>
  <c r="E1086" i="1"/>
  <c r="E1085" i="1"/>
  <c r="E1084" i="1"/>
  <c r="E1083" i="1"/>
  <c r="E1082" i="1"/>
  <c r="E1081" i="1"/>
  <c r="E1080" i="1"/>
  <c r="E1079" i="1"/>
  <c r="E1078" i="1"/>
  <c r="F1102" i="1" l="1"/>
  <c r="F1085" i="1"/>
  <c r="F1104" i="1"/>
  <c r="E1077" i="1"/>
  <c r="E1076" i="1"/>
  <c r="E1075" i="1"/>
  <c r="E1074" i="1"/>
  <c r="E1073" i="1"/>
  <c r="E1072" i="1"/>
  <c r="E1071" i="1"/>
  <c r="E1070" i="1"/>
  <c r="E1069" i="1"/>
  <c r="E1068" i="1"/>
  <c r="E1066" i="1"/>
  <c r="E1064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4" i="6"/>
  <c r="F4" i="6" s="1"/>
  <c r="B1065" i="1"/>
  <c r="E1065" i="1" s="1"/>
  <c r="B1063" i="1"/>
  <c r="E1063" i="1" s="1"/>
  <c r="G2" i="5"/>
  <c r="F3" i="6"/>
  <c r="F2" i="6"/>
  <c r="E2" i="6"/>
  <c r="E3" i="6"/>
  <c r="B1062" i="1" l="1"/>
  <c r="E1062" i="1" s="1"/>
  <c r="F1054" i="1" s="1"/>
  <c r="B1042" i="1" l="1"/>
  <c r="B1041" i="1"/>
  <c r="B1040" i="1"/>
  <c r="B1030" i="1"/>
  <c r="E1045" i="1" l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F1025" i="1" l="1"/>
  <c r="F1037" i="1"/>
  <c r="B1021" i="1"/>
  <c r="E1024" i="1"/>
  <c r="E1023" i="1"/>
  <c r="E1022" i="1"/>
  <c r="E1021" i="1"/>
  <c r="E1020" i="1"/>
  <c r="E1019" i="1"/>
  <c r="E1018" i="1"/>
  <c r="E1017" i="1" l="1"/>
  <c r="E1016" i="1"/>
  <c r="E1015" i="1"/>
  <c r="E1014" i="1"/>
  <c r="B1012" i="1" l="1"/>
  <c r="B1010" i="1"/>
  <c r="B1009" i="1" l="1"/>
  <c r="B1005" i="1" l="1"/>
  <c r="E1013" i="1"/>
  <c r="E1012" i="1"/>
  <c r="E1011" i="1"/>
  <c r="E1010" i="1"/>
  <c r="E1009" i="1"/>
  <c r="E1008" i="1"/>
  <c r="E1007" i="1"/>
  <c r="E1006" i="1"/>
  <c r="E1005" i="1"/>
  <c r="B1003" i="1" l="1"/>
  <c r="E1004" i="1" l="1"/>
  <c r="E1003" i="1"/>
  <c r="E1002" i="1"/>
  <c r="E1001" i="1"/>
  <c r="B997" i="1"/>
  <c r="B992" i="1" l="1"/>
  <c r="B989" i="1" l="1"/>
  <c r="B988" i="1"/>
  <c r="E988" i="1" s="1"/>
  <c r="B987" i="1"/>
  <c r="E1000" i="1" l="1"/>
  <c r="E999" i="1"/>
  <c r="E998" i="1"/>
  <c r="E997" i="1"/>
  <c r="E996" i="1"/>
  <c r="E995" i="1"/>
  <c r="E994" i="1"/>
  <c r="E993" i="1"/>
  <c r="E992" i="1"/>
  <c r="E991" i="1"/>
  <c r="E990" i="1"/>
  <c r="E989" i="1"/>
  <c r="E987" i="1"/>
  <c r="E986" i="1"/>
  <c r="E985" i="1"/>
  <c r="E984" i="1"/>
  <c r="E983" i="1"/>
  <c r="E982" i="1"/>
  <c r="E981" i="1"/>
  <c r="F980" i="1" l="1"/>
  <c r="B974" i="1"/>
  <c r="E974" i="1" s="1"/>
  <c r="B972" i="1"/>
  <c r="E972" i="1" s="1"/>
  <c r="E979" i="1"/>
  <c r="E978" i="1"/>
  <c r="E976" i="1"/>
  <c r="E975" i="1"/>
  <c r="E970" i="1"/>
  <c r="E961" i="1" l="1"/>
  <c r="E960" i="1"/>
  <c r="E959" i="1"/>
  <c r="E958" i="1"/>
  <c r="E957" i="1"/>
  <c r="E956" i="1"/>
  <c r="E968" i="1"/>
  <c r="E967" i="1" l="1"/>
  <c r="E966" i="1"/>
  <c r="E965" i="1"/>
  <c r="E964" i="1"/>
  <c r="F964" i="1" s="1"/>
  <c r="E963" i="1"/>
  <c r="E962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F950" i="1" l="1"/>
  <c r="B923" i="1" l="1"/>
  <c r="E938" i="1"/>
  <c r="F938" i="1" s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B910" i="1"/>
  <c r="E910" i="1" s="1"/>
  <c r="F914" i="1" l="1"/>
  <c r="E909" i="1"/>
  <c r="E895" i="1" l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4" i="1"/>
  <c r="F894" i="1" l="1"/>
  <c r="E893" i="1"/>
  <c r="E892" i="1"/>
  <c r="E891" i="1"/>
  <c r="E890" i="1"/>
  <c r="E889" i="1"/>
  <c r="E888" i="1"/>
  <c r="E887" i="1"/>
  <c r="E886" i="1"/>
  <c r="E885" i="1"/>
  <c r="E884" i="1"/>
  <c r="E883" i="1"/>
  <c r="F884" i="1" l="1"/>
  <c r="E882" i="1"/>
  <c r="E881" i="1"/>
  <c r="E880" i="1"/>
  <c r="E879" i="1"/>
  <c r="E878" i="1"/>
  <c r="E877" i="1"/>
  <c r="B876" i="1"/>
  <c r="E876" i="1" s="1"/>
  <c r="B874" i="1"/>
  <c r="E874" i="1" s="1"/>
  <c r="B873" i="1"/>
  <c r="E873" i="1" s="1"/>
  <c r="E875" i="1"/>
  <c r="B872" i="1"/>
  <c r="B856" i="1" l="1"/>
  <c r="E872" i="1" l="1"/>
  <c r="E871" i="1"/>
  <c r="E870" i="1"/>
  <c r="E869" i="1"/>
  <c r="E868" i="1"/>
  <c r="E867" i="1"/>
  <c r="E864" i="1"/>
  <c r="E863" i="1"/>
  <c r="E862" i="1"/>
  <c r="E861" i="1"/>
  <c r="E860" i="1"/>
  <c r="E859" i="1"/>
  <c r="E858" i="1"/>
  <c r="E857" i="1"/>
  <c r="E856" i="1"/>
  <c r="E855" i="1"/>
  <c r="E854" i="1"/>
  <c r="B847" i="1" l="1"/>
  <c r="E847" i="1" s="1"/>
  <c r="E843" i="1"/>
  <c r="E840" i="1"/>
  <c r="E853" i="1"/>
  <c r="E852" i="1"/>
  <c r="E851" i="1"/>
  <c r="E850" i="1"/>
  <c r="E849" i="1"/>
  <c r="E848" i="1"/>
  <c r="E846" i="1"/>
  <c r="E845" i="1"/>
  <c r="E844" i="1"/>
  <c r="E842" i="1"/>
  <c r="E841" i="1"/>
  <c r="F846" i="1" l="1"/>
  <c r="E839" i="1"/>
  <c r="E838" i="1"/>
  <c r="E837" i="1"/>
  <c r="E836" i="1"/>
  <c r="E835" i="1"/>
  <c r="E834" i="1"/>
  <c r="E833" i="1"/>
  <c r="E832" i="1" l="1"/>
  <c r="E831" i="1"/>
  <c r="F831" i="1" s="1"/>
  <c r="E830" i="1"/>
  <c r="B829" i="1" l="1"/>
  <c r="B824" i="1" l="1"/>
  <c r="E829" i="1" l="1"/>
  <c r="E828" i="1"/>
  <c r="E827" i="1"/>
  <c r="E826" i="1"/>
  <c r="E825" i="1"/>
  <c r="E824" i="1"/>
  <c r="B814" i="1" l="1"/>
  <c r="E823" i="1" l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 l="1"/>
  <c r="F805" i="1" s="1"/>
  <c r="B803" i="1" l="1"/>
  <c r="E803" i="1"/>
  <c r="E802" i="1"/>
  <c r="E801" i="1"/>
  <c r="E800" i="1"/>
  <c r="E799" i="1"/>
  <c r="E798" i="1"/>
  <c r="E797" i="1"/>
  <c r="E796" i="1"/>
  <c r="E795" i="1"/>
  <c r="E794" i="1"/>
  <c r="E793" i="1"/>
  <c r="B791" i="1"/>
  <c r="E783" i="1" l="1"/>
  <c r="E781" i="1"/>
  <c r="E782" i="1"/>
  <c r="B786" i="1"/>
  <c r="E786" i="1" s="1"/>
  <c r="E792" i="1"/>
  <c r="E791" i="1"/>
  <c r="E790" i="1"/>
  <c r="E789" i="1"/>
  <c r="E788" i="1"/>
  <c r="E787" i="1"/>
  <c r="E785" i="1"/>
  <c r="E784" i="1"/>
  <c r="E780" i="1" l="1"/>
  <c r="F780" i="1" s="1"/>
  <c r="E779" i="1"/>
  <c r="E778" i="1"/>
  <c r="E777" i="1"/>
  <c r="E776" i="1"/>
  <c r="E775" i="1"/>
  <c r="E774" i="1" l="1"/>
  <c r="B764" i="1" l="1"/>
  <c r="B762" i="1"/>
  <c r="E762" i="1" s="1"/>
  <c r="E773" i="1"/>
  <c r="E772" i="1"/>
  <c r="E770" i="1"/>
  <c r="E769" i="1"/>
  <c r="E768" i="1"/>
  <c r="E767" i="1"/>
  <c r="E766" i="1"/>
  <c r="E765" i="1"/>
  <c r="E764" i="1"/>
  <c r="E763" i="1"/>
  <c r="E761" i="1"/>
  <c r="E760" i="1"/>
  <c r="B759" i="1"/>
  <c r="B745" i="1" l="1"/>
  <c r="B744" i="1"/>
  <c r="B742" i="1"/>
  <c r="B743" i="1"/>
  <c r="B740" i="1" l="1"/>
  <c r="E740" i="1" s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1" i="1"/>
  <c r="E739" i="1"/>
  <c r="E738" i="1"/>
  <c r="E737" i="1"/>
  <c r="E736" i="1"/>
  <c r="F736" i="1" l="1"/>
  <c r="B733" i="1" l="1"/>
  <c r="E733" i="1" s="1"/>
  <c r="E734" i="1"/>
  <c r="E732" i="1"/>
  <c r="B729" i="1" l="1"/>
  <c r="B724" i="1"/>
  <c r="B723" i="1"/>
  <c r="B722" i="1"/>
  <c r="B716" i="1"/>
  <c r="E731" i="1" l="1"/>
  <c r="E730" i="1"/>
  <c r="E729" i="1"/>
  <c r="E727" i="1"/>
  <c r="E726" i="1"/>
  <c r="E725" i="1"/>
  <c r="E724" i="1"/>
  <c r="E722" i="1"/>
  <c r="E721" i="1"/>
  <c r="E720" i="1"/>
  <c r="E719" i="1"/>
  <c r="E718" i="1"/>
  <c r="E717" i="1"/>
  <c r="E716" i="1"/>
  <c r="E715" i="1"/>
  <c r="E714" i="1" l="1"/>
  <c r="E713" i="1"/>
  <c r="E712" i="1"/>
  <c r="E711" i="1"/>
  <c r="E710" i="1"/>
  <c r="E709" i="1"/>
  <c r="E706" i="1"/>
  <c r="B698" i="1"/>
  <c r="F708" i="1" l="1"/>
  <c r="B695" i="1"/>
  <c r="E695" i="1" s="1"/>
  <c r="E702" i="1"/>
  <c r="E701" i="1"/>
  <c r="E699" i="1"/>
  <c r="E698" i="1"/>
  <c r="E697" i="1"/>
  <c r="E696" i="1"/>
  <c r="E694" i="1"/>
  <c r="B692" i="1"/>
  <c r="E692" i="1" s="1"/>
  <c r="E693" i="1"/>
  <c r="E691" i="1"/>
  <c r="E690" i="1"/>
  <c r="E689" i="1"/>
  <c r="E688" i="1"/>
  <c r="E687" i="1"/>
  <c r="E686" i="1"/>
  <c r="E685" i="1"/>
  <c r="E684" i="1" l="1"/>
  <c r="E683" i="1"/>
  <c r="F683" i="1" l="1"/>
  <c r="B678" i="1" l="1"/>
  <c r="E682" i="1"/>
  <c r="E681" i="1"/>
  <c r="E680" i="1"/>
  <c r="E679" i="1"/>
  <c r="E678" i="1"/>
  <c r="E677" i="1"/>
  <c r="E676" i="1"/>
  <c r="F680" i="1" l="1"/>
  <c r="B671" i="1" l="1"/>
  <c r="E675" i="1"/>
  <c r="E674" i="1"/>
  <c r="E673" i="1"/>
  <c r="F673" i="1" s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F668" i="1" l="1"/>
  <c r="E653" i="1"/>
  <c r="E652" i="1"/>
  <c r="E651" i="1"/>
  <c r="E656" i="1"/>
  <c r="F656" i="1" s="1"/>
  <c r="E655" i="1"/>
  <c r="E654" i="1"/>
  <c r="E646" i="1" l="1"/>
  <c r="E650" i="1" l="1"/>
  <c r="F650" i="1" s="1"/>
  <c r="E649" i="1"/>
  <c r="E648" i="1"/>
  <c r="E647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F646" i="1" l="1"/>
  <c r="F634" i="1"/>
  <c r="E632" i="1"/>
  <c r="E631" i="1"/>
  <c r="E630" i="1"/>
  <c r="E629" i="1"/>
  <c r="E628" i="1"/>
  <c r="E627" i="1"/>
  <c r="E626" i="1"/>
  <c r="E625" i="1"/>
  <c r="E624" i="1"/>
  <c r="B623" i="1"/>
  <c r="E623" i="1" s="1"/>
  <c r="E622" i="1" l="1"/>
  <c r="F622" i="1" s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F612" i="1" l="1"/>
  <c r="F601" i="1"/>
  <c r="B594" i="1"/>
  <c r="E595" i="1" l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F580" i="1" l="1"/>
  <c r="B570" i="1"/>
  <c r="E570" i="1" s="1"/>
  <c r="E573" i="1"/>
  <c r="E572" i="1"/>
  <c r="E571" i="1"/>
  <c r="E569" i="1"/>
  <c r="E568" i="1"/>
  <c r="B566" i="1" l="1"/>
  <c r="E566" i="1" s="1"/>
  <c r="E565" i="1" l="1"/>
  <c r="F565" i="1" s="1"/>
  <c r="E564" i="1"/>
  <c r="E563" i="1"/>
  <c r="E562" i="1"/>
  <c r="E561" i="1"/>
  <c r="E560" i="1"/>
  <c r="E559" i="1"/>
  <c r="F560" i="1" l="1"/>
  <c r="B558" i="1"/>
  <c r="E558" i="1" l="1"/>
  <c r="E557" i="1"/>
  <c r="E556" i="1"/>
  <c r="E555" i="1"/>
  <c r="E554" i="1"/>
  <c r="E553" i="1"/>
  <c r="F557" i="1" l="1"/>
  <c r="F555" i="1"/>
  <c r="F553" i="1"/>
  <c r="E551" i="1"/>
  <c r="E550" i="1"/>
  <c r="E549" i="1"/>
  <c r="E548" i="1"/>
  <c r="E547" i="1"/>
  <c r="E546" i="1" l="1"/>
  <c r="E545" i="1"/>
  <c r="E544" i="1"/>
  <c r="E543" i="1"/>
  <c r="E542" i="1"/>
  <c r="E541" i="1" l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B524" i="1"/>
  <c r="E506" i="1" l="1"/>
  <c r="E505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F517" i="1" l="1"/>
  <c r="F505" i="1"/>
  <c r="E504" i="1"/>
  <c r="E503" i="1"/>
  <c r="E502" i="1"/>
  <c r="E501" i="1"/>
  <c r="E500" i="1"/>
  <c r="E499" i="1"/>
  <c r="E498" i="1" l="1"/>
  <c r="E497" i="1"/>
  <c r="E496" i="1"/>
  <c r="E495" i="1"/>
  <c r="E494" i="1"/>
  <c r="E493" i="1"/>
  <c r="E491" i="1"/>
  <c r="E490" i="1"/>
  <c r="E492" i="1"/>
  <c r="E489" i="1"/>
  <c r="E488" i="1"/>
  <c r="E487" i="1"/>
  <c r="F493" i="1" l="1"/>
  <c r="F487" i="1"/>
  <c r="E486" i="1"/>
  <c r="E485" i="1"/>
  <c r="E484" i="1"/>
  <c r="E483" i="1"/>
  <c r="E482" i="1"/>
  <c r="E481" i="1"/>
  <c r="F485" i="1" l="1"/>
  <c r="A469" i="1"/>
  <c r="E471" i="1"/>
  <c r="E480" i="1" l="1"/>
  <c r="E479" i="1"/>
  <c r="E478" i="1"/>
  <c r="E477" i="1"/>
  <c r="E476" i="1"/>
  <c r="E475" i="1"/>
  <c r="E474" i="1"/>
  <c r="E473" i="1"/>
  <c r="E470" i="1"/>
  <c r="E469" i="1"/>
  <c r="E468" i="1"/>
  <c r="E467" i="1"/>
  <c r="E466" i="1"/>
  <c r="E465" i="1"/>
  <c r="E464" i="1"/>
  <c r="E463" i="1"/>
  <c r="E462" i="1"/>
  <c r="F476" i="1" l="1"/>
  <c r="F469" i="1"/>
  <c r="F471" i="1"/>
  <c r="B444" i="1"/>
  <c r="E461" i="1"/>
  <c r="F461" i="1" s="1"/>
  <c r="E460" i="1"/>
  <c r="E459" i="1"/>
  <c r="E458" i="1"/>
  <c r="F453" i="1" s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33" i="1"/>
  <c r="B432" i="1"/>
  <c r="E441" i="1" l="1"/>
  <c r="F441" i="1" s="1"/>
  <c r="E440" i="1"/>
  <c r="E439" i="1"/>
  <c r="E438" i="1"/>
  <c r="E437" i="1"/>
  <c r="E436" i="1"/>
  <c r="E435" i="1"/>
  <c r="E434" i="1"/>
  <c r="E432" i="1"/>
  <c r="E431" i="1"/>
  <c r="E430" i="1"/>
  <c r="E429" i="1"/>
  <c r="E428" i="1"/>
  <c r="E427" i="1"/>
  <c r="E426" i="1"/>
  <c r="E425" i="1"/>
  <c r="E424" i="1"/>
  <c r="E423" i="1" l="1"/>
  <c r="F423" i="1" s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 l="1"/>
  <c r="E407" i="1"/>
  <c r="E406" i="1"/>
  <c r="E405" i="1"/>
  <c r="F406" i="1" l="1"/>
  <c r="E400" i="1"/>
  <c r="E404" i="1" l="1"/>
  <c r="E403" i="1"/>
  <c r="E402" i="1"/>
  <c r="E401" i="1"/>
  <c r="E399" i="1"/>
  <c r="E398" i="1"/>
  <c r="E397" i="1"/>
  <c r="E396" i="1"/>
  <c r="E395" i="1"/>
  <c r="E394" i="1"/>
  <c r="E393" i="1"/>
  <c r="E392" i="1"/>
  <c r="E391" i="1"/>
  <c r="E390" i="1"/>
  <c r="B389" i="1"/>
  <c r="E389" i="1" s="1"/>
  <c r="E388" i="1" l="1"/>
  <c r="F388" i="1" s="1"/>
  <c r="E387" i="1"/>
  <c r="E386" i="1"/>
  <c r="E385" i="1"/>
  <c r="E384" i="1"/>
  <c r="E383" i="1"/>
  <c r="E382" i="1"/>
  <c r="E381" i="1"/>
  <c r="E380" i="1"/>
  <c r="E379" i="1"/>
  <c r="E378" i="1"/>
  <c r="E377" i="1"/>
  <c r="E376" i="1"/>
  <c r="B372" i="1"/>
  <c r="B368" i="1" l="1"/>
  <c r="E368" i="1" s="1"/>
  <c r="E375" i="1"/>
  <c r="E374" i="1"/>
  <c r="E372" i="1"/>
  <c r="E371" i="1"/>
  <c r="E370" i="1"/>
  <c r="E367" i="1"/>
  <c r="E366" i="1"/>
  <c r="F366" i="1" l="1"/>
  <c r="B364" i="1"/>
  <c r="E364" i="1" s="1"/>
  <c r="B363" i="1"/>
  <c r="E363" i="1" s="1"/>
  <c r="E365" i="1"/>
  <c r="B358" i="1" l="1"/>
  <c r="B357" i="1"/>
  <c r="E357" i="1" l="1"/>
  <c r="B348" i="1" l="1"/>
  <c r="E348" i="1" s="1"/>
  <c r="E362" i="1"/>
  <c r="E361" i="1"/>
  <c r="E360" i="1"/>
  <c r="E359" i="1"/>
  <c r="E358" i="1"/>
  <c r="E356" i="1"/>
  <c r="E355" i="1"/>
  <c r="E354" i="1"/>
  <c r="E353" i="1"/>
  <c r="E352" i="1"/>
  <c r="E351" i="1"/>
  <c r="E350" i="1"/>
  <c r="E349" i="1"/>
  <c r="E347" i="1"/>
  <c r="E346" i="1"/>
  <c r="E345" i="1"/>
  <c r="E344" i="1"/>
  <c r="E343" i="1"/>
  <c r="E342" i="1"/>
  <c r="E341" i="1"/>
  <c r="F343" i="1" l="1"/>
  <c r="B333" i="1"/>
  <c r="E329" i="1"/>
  <c r="E328" i="1"/>
  <c r="E327" i="1"/>
  <c r="E340" i="1" l="1"/>
  <c r="E339" i="1"/>
  <c r="E338" i="1"/>
  <c r="E337" i="1"/>
  <c r="E336" i="1"/>
  <c r="E335" i="1"/>
  <c r="E334" i="1"/>
  <c r="E333" i="1"/>
  <c r="E332" i="1"/>
  <c r="E331" i="1"/>
  <c r="E330" i="1"/>
  <c r="E326" i="1"/>
  <c r="E325" i="1"/>
  <c r="E324" i="1"/>
  <c r="E323" i="1"/>
  <c r="E322" i="1"/>
  <c r="E321" i="1"/>
  <c r="E320" i="1"/>
  <c r="E319" i="1"/>
  <c r="E318" i="1"/>
  <c r="F318" i="1" l="1"/>
  <c r="B301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 l="1"/>
  <c r="F300" i="1" s="1"/>
  <c r="E299" i="1"/>
  <c r="E298" i="1"/>
  <c r="E297" i="1"/>
  <c r="E296" i="1"/>
  <c r="E295" i="1"/>
  <c r="E294" i="1"/>
  <c r="E293" i="1"/>
  <c r="B285" i="1" l="1"/>
  <c r="E292" i="1" l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B277" i="1"/>
  <c r="E277" i="1" s="1"/>
  <c r="B276" i="1"/>
  <c r="E276" i="1" s="1"/>
  <c r="F280" i="1" l="1"/>
  <c r="E275" i="1"/>
  <c r="E274" i="1"/>
  <c r="E273" i="1"/>
  <c r="E272" i="1" l="1"/>
  <c r="E271" i="1"/>
  <c r="E270" i="1"/>
  <c r="E269" i="1"/>
  <c r="E268" i="1"/>
  <c r="E267" i="1"/>
  <c r="E266" i="1"/>
  <c r="E265" i="1"/>
  <c r="E264" i="1"/>
  <c r="E263" i="1"/>
  <c r="E262" i="1"/>
  <c r="E261" i="1"/>
  <c r="B256" i="1"/>
  <c r="E256" i="1" s="1"/>
  <c r="E260" i="1"/>
  <c r="E259" i="1"/>
  <c r="E258" i="1"/>
  <c r="E257" i="1"/>
  <c r="E255" i="1"/>
  <c r="E254" i="1"/>
  <c r="E253" i="1"/>
  <c r="E252" i="1"/>
  <c r="F254" i="1" l="1"/>
  <c r="B246" i="1"/>
  <c r="E246" i="1" s="1"/>
  <c r="B245" i="1"/>
  <c r="E245" i="1" s="1"/>
  <c r="B244" i="1"/>
  <c r="E244" i="1" s="1"/>
  <c r="E251" i="1"/>
  <c r="E250" i="1"/>
  <c r="E249" i="1"/>
  <c r="E248" i="1"/>
  <c r="E247" i="1"/>
  <c r="E243" i="1"/>
  <c r="E242" i="1"/>
  <c r="E241" i="1"/>
  <c r="E240" i="1" l="1"/>
  <c r="E239" i="1"/>
  <c r="E238" i="1"/>
  <c r="E237" i="1"/>
  <c r="E236" i="1"/>
  <c r="E235" i="1"/>
  <c r="E234" i="1"/>
  <c r="E233" i="1"/>
  <c r="E232" i="1"/>
  <c r="E231" i="1"/>
  <c r="F234" i="1" l="1"/>
  <c r="E230" i="1"/>
  <c r="E229" i="1"/>
  <c r="E228" i="1"/>
  <c r="E227" i="1"/>
  <c r="E226" i="1"/>
  <c r="E225" i="1"/>
  <c r="E224" i="1"/>
  <c r="E223" i="1"/>
  <c r="E222" i="1"/>
  <c r="E221" i="1"/>
  <c r="F221" i="1" l="1"/>
  <c r="E220" i="1"/>
  <c r="E219" i="1"/>
  <c r="E218" i="1"/>
  <c r="E217" i="1"/>
  <c r="E216" i="1"/>
  <c r="E215" i="1"/>
  <c r="E214" i="1"/>
  <c r="E213" i="1"/>
  <c r="E212" i="1"/>
  <c r="E211" i="1"/>
  <c r="E210" i="1"/>
  <c r="E209" i="1" l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F191" i="1" l="1"/>
  <c r="F206" i="1"/>
  <c r="E189" i="1"/>
  <c r="B187" i="1" l="1"/>
  <c r="E187" i="1" s="1"/>
  <c r="E186" i="1" l="1"/>
  <c r="E185" i="1"/>
  <c r="E184" i="1"/>
  <c r="E183" i="1"/>
  <c r="E182" i="1"/>
  <c r="E181" i="1"/>
  <c r="E180" i="1"/>
  <c r="E179" i="1"/>
  <c r="F184" i="1" l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F175" i="1" l="1"/>
  <c r="F165" i="1"/>
  <c r="E164" i="1"/>
  <c r="E163" i="1"/>
  <c r="E162" i="1"/>
  <c r="E161" i="1"/>
  <c r="E160" i="1"/>
  <c r="F160" i="1" s="1"/>
  <c r="E159" i="1"/>
  <c r="L158" i="1"/>
  <c r="L160" i="1"/>
  <c r="F162" i="1" l="1"/>
  <c r="E158" i="1"/>
  <c r="E157" i="1"/>
  <c r="E156" i="1"/>
  <c r="E155" i="1"/>
  <c r="E154" i="1" l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F140" i="1" l="1"/>
  <c r="B138" i="1"/>
  <c r="E138" i="1" s="1"/>
  <c r="E137" i="1"/>
  <c r="E136" i="1"/>
  <c r="E135" i="1"/>
  <c r="E134" i="1"/>
  <c r="E133" i="1"/>
  <c r="E132" i="1"/>
  <c r="E131" i="1"/>
  <c r="E130" i="1"/>
  <c r="E129" i="1"/>
  <c r="E128" i="1"/>
  <c r="B127" i="1"/>
  <c r="B126" i="1"/>
  <c r="E125" i="1"/>
  <c r="E127" i="1" l="1"/>
  <c r="E126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F121" i="1" l="1"/>
  <c r="E107" i="1"/>
  <c r="E106" i="1"/>
  <c r="E104" i="1"/>
  <c r="E103" i="1"/>
  <c r="E101" i="1"/>
  <c r="F101" i="1" l="1"/>
  <c r="E99" i="1"/>
  <c r="E97" i="1"/>
  <c r="F97" i="1" s="1"/>
  <c r="E96" i="1"/>
  <c r="E95" i="1" l="1"/>
  <c r="E94" i="1"/>
  <c r="E90" i="1" l="1"/>
  <c r="E92" i="1" l="1"/>
  <c r="E89" i="1"/>
  <c r="E88" i="1"/>
  <c r="E87" i="1"/>
  <c r="E86" i="1"/>
  <c r="E84" i="1" l="1"/>
  <c r="F84" i="1" s="1"/>
  <c r="E82" i="1" l="1"/>
  <c r="E81" i="1"/>
  <c r="E80" i="1"/>
  <c r="E79" i="1"/>
  <c r="E77" i="1"/>
  <c r="E75" i="1"/>
  <c r="E73" i="1"/>
  <c r="E71" i="1" l="1"/>
  <c r="F71" i="1" s="1"/>
  <c r="E58" i="1" l="1"/>
  <c r="E69" i="1" l="1"/>
  <c r="E68" i="1"/>
  <c r="E67" i="1"/>
  <c r="E66" i="1"/>
  <c r="E65" i="1"/>
  <c r="E64" i="1"/>
  <c r="E63" i="1"/>
  <c r="E62" i="1"/>
  <c r="E61" i="1"/>
  <c r="E60" i="1"/>
  <c r="E59" i="1"/>
  <c r="E56" i="1"/>
  <c r="E55" i="1"/>
  <c r="E54" i="1"/>
  <c r="F56" i="1" l="1"/>
  <c r="F66" i="1"/>
  <c r="B45" i="1"/>
  <c r="E53" i="1" l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F44" i="1" l="1"/>
  <c r="E35" i="1"/>
  <c r="E34" i="1"/>
  <c r="E33" i="1"/>
  <c r="E32" i="1"/>
  <c r="E31" i="1"/>
  <c r="E30" i="1"/>
  <c r="E29" i="1"/>
  <c r="E28" i="1"/>
  <c r="E27" i="1"/>
  <c r="E26" i="1"/>
  <c r="E24" i="1"/>
  <c r="E23" i="1"/>
  <c r="E22" i="1"/>
  <c r="E21" i="1"/>
  <c r="E20" i="1"/>
  <c r="E19" i="1"/>
  <c r="E18" i="1"/>
  <c r="E17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5" i="1"/>
  <c r="B16" i="1"/>
  <c r="E16" i="1" s="1"/>
  <c r="F13" i="1" l="1"/>
  <c r="F30" i="1"/>
  <c r="F3" i="1"/>
  <c r="E2" i="1" l="1"/>
  <c r="F154" i="1"/>
</calcChain>
</file>

<file path=xl/sharedStrings.xml><?xml version="1.0" encoding="utf-8"?>
<sst xmlns="http://schemas.openxmlformats.org/spreadsheetml/2006/main" count="2003" uniqueCount="513">
  <si>
    <t>Total</t>
  </si>
  <si>
    <t>Comments</t>
  </si>
  <si>
    <t>Description</t>
  </si>
  <si>
    <t>WeekTotal</t>
  </si>
  <si>
    <t>Deductions</t>
  </si>
  <si>
    <t>Task</t>
  </si>
  <si>
    <t>Administration</t>
  </si>
  <si>
    <t>Software Development</t>
  </si>
  <si>
    <t>Talking to Counsel (Kay Summit) and setting up time keeping</t>
  </si>
  <si>
    <t>Developing Profile class and initial testing</t>
  </si>
  <si>
    <t>Developing RibbonBase class</t>
  </si>
  <si>
    <t>Emailing Counsel (Kay Summit) with some questions</t>
  </si>
  <si>
    <t>Developing Profile class - adding functions to insert vpi when there are currently no vertical curves</t>
  </si>
  <si>
    <t>Business Development</t>
  </si>
  <si>
    <t>Conversed with Paddy Jordan of Mulkey Engineers, Inc to discuss joint venture prospect</t>
  </si>
  <si>
    <t>Composing Business Plan</t>
  </si>
  <si>
    <t>Adding the testing framework to github as another repository</t>
  </si>
  <si>
    <t>Made Rob Walton a collaborator on github</t>
  </si>
  <si>
    <t>Editing Business Plan</t>
  </si>
  <si>
    <t>Refactored storage strategy for PGLgrouping</t>
  </si>
  <si>
    <t>Developing PGLgrouping</t>
  </si>
  <si>
    <t>Developing PGLgrouping tests</t>
  </si>
  <si>
    <t>Developing PGLgrouping and rm21Corridor</t>
  </si>
  <si>
    <t>Revising Business Plan</t>
  </si>
  <si>
    <t>Modifying CogoStation class so it will work with INotifyPropertyChanged</t>
  </si>
  <si>
    <t>Printing Confidentiality Agreement and Business Plan</t>
  </si>
  <si>
    <t>Developing Station toy app as research exercise</t>
  </si>
  <si>
    <t>Successfully completed: Developing Station toy app as research exercise</t>
  </si>
  <si>
    <t>Printing/signing/mailing retainger agreement</t>
  </si>
  <si>
    <t>Began Coding a major demonstration application for RM21</t>
  </si>
  <si>
    <t>Continued Coding a major demonstration application for RM21</t>
  </si>
  <si>
    <t>Working on the Corridor Tree View control</t>
  </si>
  <si>
    <t>Working on the Ribbon Design Tab Control</t>
  </si>
  <si>
    <t>Preparing for Tuesday's meeting</t>
  </si>
  <si>
    <t>Touch up of main dialog box - adding canvases for graphic elements</t>
  </si>
  <si>
    <t>Working on Width and CrossSlope lists on Ribbon Design Tab</t>
  </si>
  <si>
    <t>Cross Section View on the Ribbon Design Tab</t>
  </si>
  <si>
    <t>Cross Section View - drawing lines on it</t>
  </si>
  <si>
    <t>Cross Section View - drawing lines via transform for scale</t>
  </si>
  <si>
    <t>Implementing CadLine class</t>
  </si>
  <si>
    <t>Implementing CadText clas</t>
  </si>
  <si>
    <t>Making a corridor draw itself on a cross section view</t>
  </si>
  <si>
    <t>Added view scale factor to cross section view</t>
  </si>
  <si>
    <t>Added Advance Station For/Backward buttons to Cross Section View</t>
  </si>
  <si>
    <t>Adding framework to change window center coordinates of Cross Section View</t>
  </si>
  <si>
    <t>Started making a Station Text Box</t>
  </si>
  <si>
    <t>Making a true station text box possible</t>
  </si>
  <si>
    <t>Enabling mouse-wheel to zoom cross section view and mouse-slide to slide view center</t>
  </si>
  <si>
    <t>Adding more ribbons so part of road has a median</t>
  </si>
  <si>
    <t>Making the placement of text on the canvas work better</t>
  </si>
  <si>
    <t>Making the placement of text on the canvas work better, etc.</t>
  </si>
  <si>
    <t>Plan View Schematic drawing -- getting it to work</t>
  </si>
  <si>
    <t>Adding function to add two profiles to result in another profile.</t>
  </si>
  <si>
    <t>Testing and debugging function to add two profiles to result in another profile.</t>
  </si>
  <si>
    <t>Adding more ribbons so the median has 2 left turn lanes</t>
  </si>
  <si>
    <t>Talking to Kay Lewis on the phone</t>
  </si>
  <si>
    <t>Preparing Trinug Presentation</t>
  </si>
  <si>
    <t>Organizing January Presentation</t>
  </si>
  <si>
    <t>General</t>
  </si>
  <si>
    <t>Downloading sample projects from NCDOT</t>
  </si>
  <si>
    <t>Marketing</t>
  </si>
  <si>
    <t>Sending invitations to the RM21 Progress Presentation</t>
  </si>
  <si>
    <t>Talking to lawyers</t>
  </si>
  <si>
    <t>Meeting with Larry Coats and Justin Leonard, patent attorneys</t>
  </si>
  <si>
    <t>Various: reading BDN stuff, preparing proposal for Transoft, etc.</t>
  </si>
  <si>
    <t>Legal Matters</t>
  </si>
  <si>
    <t>Meeting with Justin Leonard</t>
  </si>
  <si>
    <t>Lunch plus demo with Jason Johnson</t>
  </si>
  <si>
    <t>email with Kay Lewis and Justin Leonard</t>
  </si>
  <si>
    <t>Patent</t>
  </si>
  <si>
    <t>Drawing a flow chart for the application</t>
  </si>
  <si>
    <t>Composing explanatory information for the patent attorney</t>
  </si>
  <si>
    <t>Tweaking station text behavior</t>
  </si>
  <si>
    <t>Project Management</t>
  </si>
  <si>
    <t>Meeting w/ Tom Hildebrand discussing direction and approaches</t>
  </si>
  <si>
    <t>Software Project Management</t>
  </si>
  <si>
    <t>Skype call with Dave Body of Bentley</t>
  </si>
  <si>
    <t>Transfer money</t>
  </si>
  <si>
    <t>IT</t>
  </si>
  <si>
    <t>Microstation Installation</t>
  </si>
  <si>
    <t>Preparing for tomorrow night's presentation</t>
  </si>
  <si>
    <t>Delivering demo presentation</t>
  </si>
  <si>
    <t>Paying bills</t>
  </si>
  <si>
    <t>Installing Developer Studio 2012</t>
  </si>
  <si>
    <t>Configuring Microstation and DevStudio for developmet</t>
  </si>
  <si>
    <t>ustn programming - research sprint</t>
  </si>
  <si>
    <t>Added List&lt;Profile&gt; surfaceXSprofiles to rm21Corridor then made everything else aware of it.</t>
  </si>
  <si>
    <t>Started class RaySheet</t>
  </si>
  <si>
    <t>Tried to Lync meet with Mark Anderson of Bentely but failed.</t>
  </si>
  <si>
    <t>Worked with Mark Anderson of Bentley to implement ustn dialog box.</t>
  </si>
  <si>
    <t>Completed implementing a test dialog box.</t>
  </si>
  <si>
    <t>Reviewing and marking up draft Provisional Application</t>
  </si>
  <si>
    <t>Getting Lucy briefed in on financials</t>
  </si>
  <si>
    <t>Discussing progress with Tom H over lunch</t>
  </si>
  <si>
    <t>Recruiting</t>
  </si>
  <si>
    <t>Lunch with Ian Jewell</t>
  </si>
  <si>
    <t>Developing algorithm to intersect line with parabola</t>
  </si>
  <si>
    <t>Emailing Moez Lalani about possible presentation to TransSoft Solutions</t>
  </si>
  <si>
    <t>Showing demo to a PhD friend and discussing his possible roles</t>
  </si>
  <si>
    <t>Speaking on phone with Mr. Lalani about possible product demo in near future.</t>
  </si>
  <si>
    <t>Developing Ray-intersect-profile</t>
  </si>
  <si>
    <t>Wrangling SunTrust banking website</t>
  </si>
  <si>
    <t>Got ray sheets to draw in cross section view</t>
  </si>
  <si>
    <t>Finishing touches on adding ray sheets to cross section demo</t>
  </si>
  <si>
    <t>Planning way forward from here and developing User Story EU1</t>
  </si>
  <si>
    <t>Added Lucy to list of authorized check-writers for the business account.</t>
  </si>
  <si>
    <t>Created rm21Ustn.dll.  Added this as a new module to github.</t>
  </si>
  <si>
    <t>Research sprint on Linq2Reflection</t>
  </si>
  <si>
    <t>Signing up for BE Conference, air and hotel reservations</t>
  </si>
  <si>
    <t>rm21Ustn Promote alignment</t>
  </si>
  <si>
    <t>rmU Promote alignment</t>
  </si>
  <si>
    <t>researching ustn Named Groups API</t>
  </si>
  <si>
    <t>Reviewing contract for Transoft Solutions</t>
  </si>
  <si>
    <t>Preparing and sending confidentiality agreement to Moez Lalani</t>
  </si>
  <si>
    <t>Promote elements to RM21 HA -- Multiple items</t>
  </si>
  <si>
    <t>rasslin with curves deflecting more than 180 degrees</t>
  </si>
  <si>
    <t>Discussed Stream Restoration workflow with Ian Jewell</t>
  </si>
  <si>
    <t>Creating 3D Cross Sections and level mapping</t>
  </si>
  <si>
    <t>Bentley LEARN Conference</t>
  </si>
  <si>
    <t>2</t>
  </si>
  <si>
    <t>01</t>
  </si>
  <si>
    <t>Special Project: ValueTicker3D</t>
  </si>
  <si>
    <t>Recruitment</t>
  </si>
  <si>
    <t>Meeting w/ Victor Lee about potential of him working on RM21 in his off hours</t>
  </si>
  <si>
    <t>Talking with Aaron Smith</t>
  </si>
  <si>
    <t>Software Development, familiarization with Stream Restoration plans</t>
  </si>
  <si>
    <t>Software Development, refactoring tests.</t>
  </si>
  <si>
    <t>TRINUG Conference</t>
  </si>
  <si>
    <t>Legal Matters, Developing draft of Independent Contractor Agreement</t>
  </si>
  <si>
    <t>Lunch meeting with Ian Jewell discussing product direction (technical)</t>
  </si>
  <si>
    <t>Business Development: Revising Business Plan, sent to Richard Scott</t>
  </si>
  <si>
    <t>Software Development, preparing to develop dtm tests</t>
  </si>
  <si>
    <t>Software Development, refactoring DTM tests.</t>
  </si>
  <si>
    <t>Software Development, modifying DTM to read VRML</t>
  </si>
  <si>
    <t>Wrangling Microstation installations / Requesting Support</t>
  </si>
  <si>
    <t>Conceptualizing Stream Restoration UI fundamentals</t>
  </si>
  <si>
    <t>Software Development: Place HA Interactive, core-side</t>
  </si>
  <si>
    <t>Software Development: Test Driven Bug fixes of Deflection class</t>
  </si>
  <si>
    <t>Software Development: Developed ptsDegree class</t>
  </si>
  <si>
    <t>Software Development: TDBF HA by freehand DP</t>
  </si>
  <si>
    <t>Software Development: TDBF HA by freehand DP, stationing</t>
  </si>
  <si>
    <t>Software Development: TDBF HA by freehand</t>
  </si>
  <si>
    <t>First sighting of dynamic alignment in Microstation.</t>
  </si>
  <si>
    <t>Debugging placeHAinteractive</t>
  </si>
  <si>
    <t>Developing the tool settings window?</t>
  </si>
  <si>
    <t>Developed grid view for placeHAinteractive</t>
  </si>
  <si>
    <t>Talking with Ian Jewell</t>
  </si>
  <si>
    <t>Developing Typical Section class</t>
  </si>
  <si>
    <t>Drafting Letter to Bill Jenkins of AECOM about upcoming patent abandonment</t>
  </si>
  <si>
    <t>Discussing patent issues (including abandonment) with attorney Justin Leonard</t>
  </si>
  <si>
    <t>Adding unconstrained limits to Profile class in support of Typical Section class</t>
  </si>
  <si>
    <t>Developing tests for unconstrained limits to Profile class</t>
  </si>
  <si>
    <t>Preparing Management Approach to PFcad</t>
  </si>
  <si>
    <t>Creating dxf files from Microstation</t>
  </si>
  <si>
    <t>Software Project Planning and Preparation</t>
  </si>
  <si>
    <t>Studying .NetDxf dll</t>
  </si>
  <si>
    <t>Studying WPF.MDI dll</t>
  </si>
  <si>
    <t>Refactoring cadFoundations to new dll, PFCviewModel</t>
  </si>
  <si>
    <t>Migrating tests for PFCviewModel</t>
  </si>
  <si>
    <t>Adding PFcad to github</t>
  </si>
  <si>
    <t>Migrating cadFoundations plus chatting with Kevin Haughey</t>
  </si>
  <si>
    <t>Refactoring classes and test from RM21 to NetVecCad</t>
  </si>
  <si>
    <t>Designing primary CadObject class hierarchy</t>
  </si>
  <si>
    <t>Building class hierarchy for CadObject and descendants.</t>
  </si>
  <si>
    <t>Legal Matters, Developing Draft IP Release agreement for AECOM</t>
  </si>
  <si>
    <t>Financial Matters</t>
  </si>
  <si>
    <t>Software Planning</t>
  </si>
  <si>
    <t>NotChargeable</t>
  </si>
  <si>
    <t>call w/ Justin Leonard</t>
  </si>
  <si>
    <t>emailing Ian about Ecostream conference</t>
  </si>
  <si>
    <t>Developing Burndown spreadsheet</t>
  </si>
  <si>
    <t>email to Kay and Justin</t>
  </si>
  <si>
    <t>Software Planning and Development</t>
  </si>
  <si>
    <t>Research / Education / Training</t>
  </si>
  <si>
    <t>x</t>
  </si>
  <si>
    <t>Drove to Newton to help Mom unpack</t>
  </si>
  <si>
    <t>Legal Matters, sending draft IP Release to Bill Jenkins</t>
  </si>
  <si>
    <t>Video conference (Autocad promotional event)</t>
  </si>
  <si>
    <t>Conversation with Julie Belanger about Optometry software prospects</t>
  </si>
  <si>
    <t>Physical Therapy / Studying for final exam</t>
  </si>
  <si>
    <t>NetVecCad Model-View-Moderator</t>
  </si>
  <si>
    <t>Research on WPF Transforms</t>
  </si>
  <si>
    <t>Drawing Lines on a Canvas</t>
  </si>
  <si>
    <t>Developing NVCadView library</t>
  </si>
  <si>
    <t>Sending FOIA req to Schoharie County</t>
  </si>
  <si>
    <t>Personal</t>
  </si>
  <si>
    <t>Filling Prescription, getting lunch</t>
  </si>
  <si>
    <t>Eye Chart Software</t>
  </si>
  <si>
    <t>NVCadView library: simple draw line</t>
  </si>
  <si>
    <t>NVCadView library: draw text</t>
  </si>
  <si>
    <t>Software Development: EyeApsis</t>
  </si>
  <si>
    <t>Vision Chart Software</t>
  </si>
  <si>
    <t>Developing Demo application</t>
  </si>
  <si>
    <t>Implementing ModelsView class (basics only)</t>
  </si>
  <si>
    <t>JobNumber</t>
  </si>
  <si>
    <t>RM21</t>
  </si>
  <si>
    <t>RM21 Software Planning and Development</t>
  </si>
  <si>
    <t>21</t>
  </si>
  <si>
    <t>21.01</t>
  </si>
  <si>
    <t>21.02</t>
  </si>
  <si>
    <t>100</t>
  </si>
  <si>
    <t>EyeApsis</t>
  </si>
  <si>
    <t>RM21 Legal, Patent, Marketing, Business Administration, or Business Development</t>
  </si>
  <si>
    <t>200</t>
  </si>
  <si>
    <t>1</t>
  </si>
  <si>
    <t>Personal Time</t>
  </si>
  <si>
    <t>Running Errands</t>
  </si>
  <si>
    <t>phone call with Kay Lewis</t>
  </si>
  <si>
    <t>Business Administration</t>
  </si>
  <si>
    <t>Picked up Wii Balance Board from Mark Ciolek</t>
  </si>
  <si>
    <t>Started researching how to connect to the Wii Balance Board</t>
  </si>
  <si>
    <t>Processing $550.00 loan from Paul and Lucy to RM21</t>
  </si>
  <si>
    <t>diagnosed bluetooth connection problem</t>
  </si>
  <si>
    <t>Personal Time (Trinug meeting)</t>
  </si>
  <si>
    <t>Updated StackExchange profile to current job situation</t>
  </si>
  <si>
    <t>Succeeded in getting basic eye chart to work.</t>
  </si>
  <si>
    <t>researching WPF commands, then implementing them</t>
  </si>
  <si>
    <t>Software Development: Balance Board Software</t>
  </si>
  <si>
    <t>attempting to install new bluetooth device -- fail</t>
  </si>
  <si>
    <t>taking machine to Best Buy to get the bluetooth fixed</t>
  </si>
  <si>
    <t>Now connectedto the Wii Balance Board and ready to go.</t>
  </si>
  <si>
    <t>Software Development: TalanFit</t>
  </si>
  <si>
    <t>Now developing software to read Balance Board's data stream</t>
  </si>
  <si>
    <t>Looking for batteries and a new monitor</t>
  </si>
  <si>
    <t>Talking to Rick Allen about trinocular oblique photogrammetry</t>
  </si>
  <si>
    <t>Emailing Scott Brusaw about solar roads geometry</t>
  </si>
  <si>
    <t>Opthalmologist Appointment</t>
  </si>
  <si>
    <t>Made connection to Balance Board.  Emailed Mark with the good news and a working proposal.</t>
  </si>
  <si>
    <t>100.02</t>
  </si>
  <si>
    <t>Business Development: EyeApsis</t>
  </si>
  <si>
    <t>Talked with Althea Bryan and Susan Cox about marketing possibilities</t>
  </si>
  <si>
    <t>Terragrammetry</t>
  </si>
  <si>
    <t>Terragrammetry Software Planning and Development</t>
  </si>
  <si>
    <t>Terragrammetry Legal, Patent, Marketing, Business Administration, or Business Development</t>
  </si>
  <si>
    <t>The product name for the corridor engineering software</t>
  </si>
  <si>
    <t>Company name which owns all of these products</t>
  </si>
  <si>
    <t>Home-use vision measurement software</t>
  </si>
  <si>
    <t>TalanFit</t>
  </si>
  <si>
    <t>Wii Balance Board software for use in therapeutic settings</t>
  </si>
  <si>
    <t>22</t>
  </si>
  <si>
    <t>22.01</t>
  </si>
  <si>
    <t>22.02</t>
  </si>
  <si>
    <t>Legal matters, business development</t>
  </si>
  <si>
    <t>Talked with Kay, emailed Mark Ciolek, called Justin Leonard</t>
  </si>
  <si>
    <t>Lunch with Ian Jewell talking about important developments</t>
  </si>
  <si>
    <t>Non-structured time thinking and researching computer vision and image processing.</t>
  </si>
  <si>
    <t>Corridor Modeling Patent - Legal</t>
  </si>
  <si>
    <t>Took signed power of attorney declaration to Coats &amp; Bennett</t>
  </si>
  <si>
    <t>200.02</t>
  </si>
  <si>
    <t>Business Development: TalanFit</t>
  </si>
  <si>
    <t>Showed working demo to Mark Ciolek, had brainstorming lunch with him.</t>
  </si>
  <si>
    <t>Composing minutes email and sending to Mark Ciolek</t>
  </si>
  <si>
    <t>NetVecCad Software Development</t>
  </si>
  <si>
    <t>Meet with Rick Allen about Terragrammetry collaboration prospects</t>
  </si>
  <si>
    <t>includes drive time to/from Fayettville</t>
  </si>
  <si>
    <t xml:space="preserve">Talked with Kiran Kakarlamudi about collaboration prospects </t>
  </si>
  <si>
    <t>Lunch with Mike Brown talking about collaboration prospects</t>
  </si>
  <si>
    <t>includes drive time to/from Apex</t>
  </si>
  <si>
    <t>Contacting Rob Allen, emailing Rick Allen, other various things</t>
  </si>
  <si>
    <t>100.01</t>
  </si>
  <si>
    <t>EyeApsis software development</t>
  </si>
  <si>
    <t>Lunch with Rob Allen talking about prospects for possible collaboration</t>
  </si>
  <si>
    <t>EyeApsis marketing</t>
  </si>
  <si>
    <t>trying to find e-commerce service providers</t>
  </si>
  <si>
    <t>RM21 Business Administration</t>
  </si>
  <si>
    <t>catching up on financial stuff</t>
  </si>
  <si>
    <t>Office meeting at Coats &amp; Bennett</t>
  </si>
  <si>
    <t>Developing Math theory of video camera geometry</t>
  </si>
  <si>
    <t>Business Development: Lunch with Rob Zelt on starup stuff</t>
  </si>
  <si>
    <t>Business Development and Legal</t>
  </si>
  <si>
    <t>Talkig with Mark Ciolek about moving forward</t>
  </si>
  <si>
    <t>Legal: Talking with Kay Lewis about legal matters</t>
  </si>
  <si>
    <t>Legal/Accounting: Gathering and sending fin statements to Kay</t>
  </si>
  <si>
    <t>Closed RM21 bus acct.  Deposted money in Credit Union acct</t>
  </si>
  <si>
    <t>Software Documentation</t>
  </si>
  <si>
    <t>Project Schedule Management</t>
  </si>
  <si>
    <t>Text draws on child window</t>
  </si>
  <si>
    <t>Tallying total hours and dollars</t>
  </si>
  <si>
    <t>Opening account at BB&amp;T</t>
  </si>
  <si>
    <t>Legal</t>
  </si>
  <si>
    <t>Preparing Fed EIN application with Kay</t>
  </si>
  <si>
    <t>Developing Arc class</t>
  </si>
  <si>
    <t>Proc documents, opening bank account</t>
  </si>
  <si>
    <t>Legal, Financial</t>
  </si>
  <si>
    <t>Financial</t>
  </si>
  <si>
    <t>Opened business account at BB&amp;t</t>
  </si>
  <si>
    <t>Getting blood work done and other office visits</t>
  </si>
  <si>
    <t>Marketing and Business Development (Maker Faire Convention)</t>
  </si>
  <si>
    <t>Meeting with Philip of BB&amp;T</t>
  </si>
  <si>
    <t>Visiting Hobby Shops to find SME's on radio control</t>
  </si>
  <si>
    <t>Market Research</t>
  </si>
  <si>
    <t>Meeting with Gordon Bolin</t>
  </si>
  <si>
    <t>EyeApsis Software Development</t>
  </si>
  <si>
    <t>Fixed bug discovered during demo this morning</t>
  </si>
  <si>
    <t>Email to Julie Belanger regarding Subject Matter Expert</t>
  </si>
  <si>
    <t>Finished initial development of Arc class</t>
  </si>
  <si>
    <t>Started MouseDrag slides view</t>
  </si>
  <si>
    <t>Called Schoharie County about FOIA request</t>
  </si>
  <si>
    <t>Various emails and such</t>
  </si>
  <si>
    <t>Meeting with Eddie Houchin about marketability</t>
  </si>
  <si>
    <t>Finished MouseDrag slides view</t>
  </si>
  <si>
    <t>Started Zoom View witth Mouse Wheel</t>
  </si>
  <si>
    <t>Finisheded Zoom View witth Mouse Wheel</t>
  </si>
  <si>
    <t>Fit View (Start and Finish)</t>
  </si>
  <si>
    <t>Started Apply Features to Elements</t>
  </si>
  <si>
    <t>Finished Apply Features to Elements</t>
  </si>
  <si>
    <t>22.03</t>
  </si>
  <si>
    <t>Terragrammetry: Computer Vision Research and Development</t>
  </si>
  <si>
    <t>Computer Vision R&amp;D: Accelerometer</t>
  </si>
  <si>
    <t>Picked up accel, assembled</t>
  </si>
  <si>
    <t>Finished: Fixed FitView</t>
  </si>
  <si>
    <t>Started: Fixed FitView</t>
  </si>
  <si>
    <t>Hand over of minutes book from Kay Lewis to me</t>
  </si>
  <si>
    <t>22.04</t>
  </si>
  <si>
    <t>Conference</t>
  </si>
  <si>
    <t>Picking up oscilloscope from Jamie Dixon</t>
  </si>
  <si>
    <t>Travel to Hickory to help mom recover from surgery</t>
  </si>
  <si>
    <t>Lunch w/ Jamie Dixon</t>
  </si>
  <si>
    <t>Business Admiistrtation</t>
  </si>
  <si>
    <t>Purchases, research, other stuff</t>
  </si>
  <si>
    <t>CodeStock in Knoxville, TN</t>
  </si>
  <si>
    <t>Conference Time (Terragrammetrry)</t>
  </si>
  <si>
    <t>22.05</t>
  </si>
  <si>
    <t xml:space="preserve">Research: </t>
  </si>
  <si>
    <t>Discussed terms for contract work with Jamie Dixon</t>
  </si>
  <si>
    <t>1000.0</t>
  </si>
  <si>
    <t>Contract Work</t>
  </si>
  <si>
    <t>1001.0</t>
  </si>
  <si>
    <t>Marketing For Contract Work</t>
  </si>
  <si>
    <t>1100.0</t>
  </si>
  <si>
    <t>Contract Work: LobbyGuard</t>
  </si>
  <si>
    <t>1100.1</t>
  </si>
  <si>
    <t>1100.2</t>
  </si>
  <si>
    <t>1100.3</t>
  </si>
  <si>
    <t>1100.4</t>
  </si>
  <si>
    <t>Contract Work: LobbyGuard: Software Development</t>
  </si>
  <si>
    <t>Contract Work: LobbyGuard: Software Testing</t>
  </si>
  <si>
    <t>Contract Work: LobbyGuard: Software Research</t>
  </si>
  <si>
    <t>Contract Work: LobbyGuard: Admin or Misc</t>
  </si>
  <si>
    <t>1100.5</t>
  </si>
  <si>
    <t>Contract Work: LobbyGuard: Project Familiarization</t>
  </si>
  <si>
    <t>Picked up passport reader</t>
  </si>
  <si>
    <t>LobbyGuard contract, insurance application, business licenses</t>
  </si>
  <si>
    <t>Contract Drafting, signing, scanning, delivering</t>
  </si>
  <si>
    <t>1100.6</t>
  </si>
  <si>
    <t>Contract Work: LobbyGuard: Non-Billable</t>
  </si>
  <si>
    <t>Reading up on FxCop and installing it</t>
  </si>
  <si>
    <t>TalanFit: Emailing Mark Ciolek</t>
  </si>
  <si>
    <t>Seeking bug; Adding custom Lettersets</t>
  </si>
  <si>
    <t>Getting Access to LobbyGuard's source control</t>
  </si>
  <si>
    <t>Talking to 3M developer support</t>
  </si>
  <si>
    <t>1100.7</t>
  </si>
  <si>
    <t>Showed working demo to Jamie</t>
  </si>
  <si>
    <t>More research on developer insurance</t>
  </si>
  <si>
    <t>Contract Work: LobbyGuard: Client Meeting or Coordination</t>
  </si>
  <si>
    <t>Includes collaboration regarding Source Control and Build Integrity</t>
  </si>
  <si>
    <t>Refactoring 3M bin directory to Libs/bin</t>
  </si>
  <si>
    <t>Writing documentation statements for XML documentation</t>
  </si>
  <si>
    <t>Code review of near-ready deliverable</t>
  </si>
  <si>
    <t>Logged the code review meeting</t>
  </si>
  <si>
    <t>Finalized unit test</t>
  </si>
  <si>
    <t>Getting code to FxCop compliance</t>
  </si>
  <si>
    <t>Returned Passport Scanner to LobbyGuard office</t>
  </si>
  <si>
    <t>Terragrammetry: Research</t>
  </si>
  <si>
    <t>Setting up invoice system</t>
  </si>
  <si>
    <t>Prelim work on Vestibulometer Class</t>
  </si>
  <si>
    <t>Invoicable</t>
  </si>
  <si>
    <t>y</t>
  </si>
  <si>
    <t>SchrumAssignment01</t>
  </si>
  <si>
    <t>WorkDate</t>
  </si>
  <si>
    <t>WorkBegin</t>
  </si>
  <si>
    <t>WorkEnd</t>
  </si>
  <si>
    <t>Accelerometer Data smooting</t>
  </si>
  <si>
    <t>Met with Kevin Allen of LobbyGuard about EyeApsis</t>
  </si>
  <si>
    <t>Coordinated with Jamie about build and installation integration</t>
  </si>
  <si>
    <t>Build integration</t>
  </si>
  <si>
    <t>Contract Work: Dr. Julie Belanger</t>
  </si>
  <si>
    <t>1200.1</t>
  </si>
  <si>
    <t>1200.5</t>
  </si>
  <si>
    <t>Contract Work: Dr. Julie Belanger: Project Familiarization</t>
  </si>
  <si>
    <t>1200.8</t>
  </si>
  <si>
    <t>Contract Work: Dr. Julie Belanger: Content Development</t>
  </si>
  <si>
    <t>Return Card Swipe Reader</t>
  </si>
  <si>
    <t>Programming payment to Kay Lewis for Invoice 8/12/2014</t>
  </si>
  <si>
    <t>Talking with Inusrance Agent</t>
  </si>
  <si>
    <t>1200.9</t>
  </si>
  <si>
    <t>Contract Work: Dr. Julie Belanger: Content Delivery, Installation</t>
  </si>
  <si>
    <t>1200.4</t>
  </si>
  <si>
    <t>Contract Work: Dr. Julie Belanger: Admin or Misc</t>
  </si>
  <si>
    <t>StartDate</t>
  </si>
  <si>
    <t>EndDate</t>
  </si>
  <si>
    <t>BillableHours</t>
  </si>
  <si>
    <t>HourlyRate</t>
  </si>
  <si>
    <t>BilledAmount</t>
  </si>
  <si>
    <t>DateSent</t>
  </si>
  <si>
    <t>DatePaymentReceived</t>
  </si>
  <si>
    <t>DatePaymentDeposited</t>
  </si>
  <si>
    <t>AmountPayed</t>
  </si>
  <si>
    <t>InvoiceNumber</t>
  </si>
  <si>
    <t>Invoiced</t>
  </si>
  <si>
    <t>Generated Invoice</t>
  </si>
  <si>
    <t>Date</t>
  </si>
  <si>
    <t>Job</t>
  </si>
  <si>
    <t>Miles Out</t>
  </si>
  <si>
    <t>Miles In</t>
  </si>
  <si>
    <t>Total Miles</t>
  </si>
  <si>
    <t>Cost</t>
  </si>
  <si>
    <t>Rate =</t>
  </si>
  <si>
    <t>per Mile</t>
  </si>
  <si>
    <t>1200</t>
  </si>
  <si>
    <t>driving</t>
  </si>
  <si>
    <t>Meeting w/ Liz Mills about Book Keeping practices</t>
  </si>
  <si>
    <t>Reason</t>
  </si>
  <si>
    <t>Site Visit (Dr. Belanger)</t>
  </si>
  <si>
    <t>Insurance Application Meeting</t>
  </si>
  <si>
    <t>Comment</t>
  </si>
  <si>
    <t>Set up QuickBooks online, changed Github to charge TerraG.</t>
  </si>
  <si>
    <t>Lunch meeting with Mike Brown and Kevin Braswell in Morrsiville</t>
  </si>
  <si>
    <t>300</t>
  </si>
  <si>
    <t>TextTuSound</t>
  </si>
  <si>
    <t>Text to Speech app, possibly for sale.</t>
  </si>
  <si>
    <t>1100.10</t>
  </si>
  <si>
    <t>Contract Work: LobbyGuard: Build Integration</t>
  </si>
  <si>
    <t>1100</t>
  </si>
  <si>
    <t>Original Invoice accidentally shows incorrect Invoice Numbr (1200.0001)</t>
  </si>
  <si>
    <t>Hand delivery of Invoice to LobbyGuard</t>
  </si>
  <si>
    <t>Visit to Bank</t>
  </si>
  <si>
    <t>Content Delivery</t>
  </si>
  <si>
    <t>Depositing check</t>
  </si>
  <si>
    <t>Delivering Invoice</t>
  </si>
  <si>
    <t>Skype call w/ Jamie to get passport reader working on his machine</t>
  </si>
  <si>
    <t>Peeing around with git.  I still can't get it to upload my existing work.</t>
  </si>
  <si>
    <t>Sick. Too sick to do anything</t>
  </si>
  <si>
    <t>Contract Write-up</t>
  </si>
  <si>
    <t>Studying Specification document</t>
  </si>
  <si>
    <t>1.1</t>
  </si>
  <si>
    <t>Personal Time: Blog Post development (Writing)</t>
  </si>
  <si>
    <t>Presentation to TriNug Data Sig</t>
  </si>
  <si>
    <t>SchrumAssignment02</t>
  </si>
  <si>
    <t>Startup, including briefing</t>
  </si>
  <si>
    <t>Trying to get source to build</t>
  </si>
  <si>
    <t>Trying to get app to run</t>
  </si>
  <si>
    <t>Buying office supplies</t>
  </si>
  <si>
    <t>400</t>
  </si>
  <si>
    <t>UltimateReversi</t>
  </si>
  <si>
    <t>Exploring all permutations of the standard Reversi game in code</t>
  </si>
  <si>
    <t>Ministry Time</t>
  </si>
  <si>
    <t>Meeting with Chip and Andy about CA ministry</t>
  </si>
  <si>
    <t>Signed up for the Stream Restoration Conference in Charlotte</t>
  </si>
  <si>
    <t>Moving in to MacVantage office</t>
  </si>
  <si>
    <t>Online purchased external monitor</t>
  </si>
  <si>
    <t>http://lg2014-dev.cloudapp.net/api/V5/Kiosk/Directory/DirectoryListForStation/EC75906F-B96E-4372-93C8-CF92F265279A/B/RaleighEmergencyCC</t>
  </si>
  <si>
    <t>3</t>
  </si>
  <si>
    <t>3.1</t>
  </si>
  <si>
    <t>Presentation Preparation</t>
  </si>
  <si>
    <t>Presentation Preparation: Raleigh Code Camp (Using Rx; Accelerometer =&gt; 3D.mouse;)</t>
  </si>
  <si>
    <t>Including rebuilding the accelerometer assemblage (physical)</t>
  </si>
  <si>
    <t>Troubleshooting USB driver problem</t>
  </si>
  <si>
    <t>Raleigh Code Camp</t>
  </si>
  <si>
    <t>Updating Journal</t>
  </si>
  <si>
    <t>1100.8</t>
  </si>
  <si>
    <t>Contract Work: LobbyGuard: Software Development: Debugging Trouble Ticket</t>
  </si>
  <si>
    <t>research on Quaternions</t>
  </si>
  <si>
    <t>22.06</t>
  </si>
  <si>
    <t>Terragrammetry: Hardware Intake / Setup</t>
  </si>
  <si>
    <t>intake process acer tablet/monitor</t>
  </si>
  <si>
    <t>research on 3D rotation math</t>
  </si>
  <si>
    <t>working on condenser mic</t>
  </si>
  <si>
    <t>Talking with Shibao and his granddaughter (as translater)</t>
  </si>
  <si>
    <t>22.021</t>
  </si>
  <si>
    <t>Terragrammetry Legal or Patent</t>
  </si>
  <si>
    <t>22.07</t>
  </si>
  <si>
    <t>Terragrammetry: Software or IT Setup or Administration</t>
  </si>
  <si>
    <t>Installing VS Update 4</t>
  </si>
  <si>
    <t>1100.9</t>
  </si>
  <si>
    <t>Contract Work: LobbyGuard: Expense Pass Through</t>
  </si>
  <si>
    <t>Includes annual insurance premium of $325.</t>
  </si>
  <si>
    <t>Invoicing</t>
  </si>
  <si>
    <t>100.1</t>
  </si>
  <si>
    <t>100.2</t>
  </si>
  <si>
    <t>EyeApsis: Research</t>
  </si>
  <si>
    <t>EyeApsis: Subject Matter Expert Meeting, Coordination, or Discussion</t>
  </si>
  <si>
    <t>Microsoft Store, then TriNug, then dinner with the guys</t>
  </si>
  <si>
    <t>Setting Up Appointment with Dr. Bandy</t>
  </si>
  <si>
    <t>Composing outline for presentation to Dr. Bandy</t>
  </si>
  <si>
    <t>Stream Restoration Conference</t>
  </si>
  <si>
    <t>Conference Time</t>
  </si>
  <si>
    <t>Meeting with Dr. Allen Bandy</t>
  </si>
  <si>
    <t>phone conversation with Ian Jewell (marketing strategies, etc)</t>
  </si>
  <si>
    <t>100.3</t>
  </si>
  <si>
    <t>EyeApsis: GUI and end user workflow development</t>
  </si>
  <si>
    <t>23</t>
  </si>
  <si>
    <t>Terragrammetry Invoicing Software (Development)</t>
  </si>
  <si>
    <t>not certain of date deposited</t>
  </si>
  <si>
    <t>To Charlotte for Stream Restoration Conference</t>
  </si>
  <si>
    <t>From Charlotte for Stream Restoration Conference</t>
  </si>
  <si>
    <t>JobNumberIntegerPart</t>
  </si>
  <si>
    <t>RateStartDate</t>
  </si>
  <si>
    <t>RateDollarsPerHour</t>
  </si>
  <si>
    <t>CompanyName</t>
  </si>
  <si>
    <t>ContactPerson</t>
  </si>
  <si>
    <t>Address1</t>
  </si>
  <si>
    <t>Address2</t>
  </si>
  <si>
    <t>CityStateZip</t>
  </si>
  <si>
    <t>LobbyGuard Solutions, LLC</t>
  </si>
  <si>
    <t>Jamie Dixon</t>
  </si>
  <si>
    <t>4700 Six Forks Road</t>
  </si>
  <si>
    <t>Suite 300</t>
  </si>
  <si>
    <t>Raleigh, NC 27609</t>
  </si>
  <si>
    <t>Dr. Julie Belanger</t>
  </si>
  <si>
    <t>InSight Family  and Pediatric Eye Care</t>
  </si>
  <si>
    <t>501 Gateway Drive</t>
  </si>
  <si>
    <t>Clayton, NC 27520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</si>
</sst>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[$-409]h:mm\ AM/PM;@"/>
    <numFmt numFmtId="165" formatCode="h:mm;@"/>
    <numFmt numFmtId="166" formatCode="&quot;TimePaid&quot;;&quot;TimeOwed&quot;"/>
    <numFmt numFmtId="167" formatCode="h:mm;&quot;&quot;;&quot;&quot;"/>
    <numFmt numFmtId="168" formatCode="[h]:mm"/>
    <numFmt numFmtId="169" formatCode="&quot;$&quot;#,##0.00"/>
  </numFmts>
  <fonts count="7" x14ac:knownFonts="1">
    <font>
      <sz val="10"/>
      <name val="Arial"/>
    </font>
    <font>
      <b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color indexed="57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4" borderId="0" applyNumberFormat="0" applyFont="0" applyBorder="0" applyAlignment="0" applyProtection="0"/>
  </cellStyleXfs>
  <cellXfs count="54">
    <xf numFmtId="0" fontId="0" fillId="0" borderId="0" xfId="0"/>
    <xf numFmtId="164" fontId="0" fillId="0" borderId="0" xfId="0" applyNumberFormat="1"/>
    <xf numFmtId="165" fontId="0" fillId="0" borderId="0" xfId="0" applyNumberFormat="1"/>
    <xf numFmtId="49" fontId="0" fillId="0" borderId="0" xfId="0" applyNumberFormat="1"/>
    <xf numFmtId="165" fontId="0" fillId="3" borderId="0" xfId="0" applyNumberFormat="1" applyFill="1"/>
    <xf numFmtId="165" fontId="0" fillId="0" borderId="0" xfId="0" quotePrefix="1" applyNumberFormat="1"/>
    <xf numFmtId="49" fontId="0" fillId="0" borderId="0" xfId="0" quotePrefix="1" applyNumberFormat="1"/>
    <xf numFmtId="0" fontId="4" fillId="0" borderId="0" xfId="0" applyFont="1"/>
    <xf numFmtId="165" fontId="4" fillId="0" borderId="0" xfId="0" applyNumberFormat="1" applyFont="1"/>
    <xf numFmtId="49" fontId="4" fillId="0" borderId="0" xfId="0" applyNumberFormat="1" applyFont="1"/>
    <xf numFmtId="164" fontId="4" fillId="0" borderId="0" xfId="0" applyNumberFormat="1" applyFont="1"/>
    <xf numFmtId="164" fontId="0" fillId="4" borderId="0" xfId="0" applyNumberFormat="1" applyFill="1"/>
    <xf numFmtId="49" fontId="0" fillId="4" borderId="0" xfId="0" applyNumberFormat="1" applyFill="1"/>
    <xf numFmtId="165" fontId="0" fillId="4" borderId="0" xfId="0" applyNumberFormat="1" applyFill="1"/>
    <xf numFmtId="166" fontId="0" fillId="0" borderId="0" xfId="0" applyNumberFormat="1" applyAlignment="1">
      <alignment wrapText="1"/>
    </xf>
    <xf numFmtId="166" fontId="0" fillId="0" borderId="0" xfId="0" applyNumberFormat="1"/>
    <xf numFmtId="166" fontId="4" fillId="0" borderId="0" xfId="0" applyNumberFormat="1" applyFont="1"/>
    <xf numFmtId="166" fontId="0" fillId="4" borderId="0" xfId="0" applyNumberFormat="1" applyFill="1"/>
    <xf numFmtId="164" fontId="0" fillId="0" borderId="0" xfId="0" quotePrefix="1" applyNumberFormat="1"/>
    <xf numFmtId="165" fontId="4" fillId="0" borderId="0" xfId="0" quotePrefix="1" applyNumberFormat="1" applyFont="1"/>
    <xf numFmtId="14" fontId="0" fillId="0" borderId="0" xfId="0" applyNumberFormat="1" applyAlignment="1">
      <alignment horizontal="center"/>
    </xf>
    <xf numFmtId="167" fontId="0" fillId="2" borderId="0" xfId="0" applyNumberFormat="1" applyFill="1"/>
    <xf numFmtId="1" fontId="0" fillId="0" borderId="0" xfId="0" applyNumberFormat="1"/>
    <xf numFmtId="2" fontId="0" fillId="2" borderId="0" xfId="0" applyNumberFormat="1" applyFill="1"/>
    <xf numFmtId="166" fontId="4" fillId="0" borderId="0" xfId="0" applyNumberFormat="1" applyFont="1" applyAlignment="1">
      <alignment wrapText="1"/>
    </xf>
    <xf numFmtId="168" fontId="0" fillId="0" borderId="0" xfId="0" applyNumberFormat="1"/>
    <xf numFmtId="168" fontId="3" fillId="0" borderId="0" xfId="0" applyNumberFormat="1" applyFont="1"/>
    <xf numFmtId="168" fontId="1" fillId="0" borderId="0" xfId="0" applyNumberFormat="1" applyFont="1"/>
    <xf numFmtId="168" fontId="2" fillId="0" borderId="0" xfId="0" applyNumberFormat="1" applyFont="1"/>
    <xf numFmtId="168" fontId="0" fillId="4" borderId="0" xfId="0" applyNumberFormat="1" applyFill="1"/>
    <xf numFmtId="14" fontId="0" fillId="0" borderId="0" xfId="0" applyNumberFormat="1"/>
    <xf numFmtId="14" fontId="4" fillId="0" borderId="0" xfId="0" applyNumberFormat="1" applyFont="1"/>
    <xf numFmtId="49" fontId="0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center"/>
    </xf>
    <xf numFmtId="3" fontId="4" fillId="0" borderId="0" xfId="0" applyNumberFormat="1" applyFont="1"/>
    <xf numFmtId="3" fontId="0" fillId="0" borderId="0" xfId="0" applyNumberFormat="1"/>
    <xf numFmtId="4" fontId="0" fillId="0" borderId="0" xfId="0" applyNumberFormat="1"/>
    <xf numFmtId="169" fontId="4" fillId="0" borderId="0" xfId="0" applyNumberFormat="1" applyFont="1"/>
    <xf numFmtId="14" fontId="0" fillId="0" borderId="0" xfId="0" applyNumberFormat="1" applyFont="1"/>
    <xf numFmtId="4" fontId="4" fillId="0" borderId="0" xfId="0" applyNumberFormat="1" applyFont="1"/>
    <xf numFmtId="165" fontId="5" fillId="0" borderId="0" xfId="1" applyNumberFormat="1"/>
    <xf numFmtId="164" fontId="0" fillId="4" borderId="0" xfId="2" applyNumberFormat="1" applyFont="1"/>
    <xf numFmtId="165" fontId="0" fillId="4" borderId="0" xfId="2" applyNumberFormat="1" applyFont="1"/>
    <xf numFmtId="168" fontId="0" fillId="4" borderId="0" xfId="2" applyNumberFormat="1" applyFont="1"/>
    <xf numFmtId="49" fontId="0" fillId="4" borderId="0" xfId="2" applyNumberFormat="1" applyFont="1"/>
    <xf numFmtId="0" fontId="4" fillId="4" borderId="0" xfId="2" applyFont="1"/>
    <xf numFmtId="166" fontId="0" fillId="4" borderId="0" xfId="2" applyNumberFormat="1" applyFont="1"/>
    <xf numFmtId="165" fontId="4" fillId="4" borderId="0" xfId="2" applyNumberFormat="1" applyFont="1"/>
    <xf numFmtId="0" fontId="0" fillId="4" borderId="0" xfId="2" applyFont="1"/>
    <xf numFmtId="44" fontId="0" fillId="0" borderId="0" xfId="0" applyNumberFormat="1"/>
    <xf numFmtId="14" fontId="0" fillId="4" borderId="0" xfId="2" applyNumberFormat="1" applyFont="1" applyAlignment="1">
      <alignment horizontal="center"/>
    </xf>
    <xf numFmtId="14" fontId="0" fillId="4" borderId="0" xfId="0" applyNumberFormat="1" applyFill="1" applyAlignment="1">
      <alignment horizontal="center"/>
    </xf>
    <xf numFmtId="14" fontId="4" fillId="0" borderId="0" xfId="0" applyNumberFormat="1" applyFont="1" applyAlignment="1">
      <alignment horizontal="center"/>
    </xf>
  </cellXfs>
  <cellStyles count="3">
    <cellStyle name="Hyperlink" xfId="1" builtinId="8"/>
    <cellStyle name="InvoiceBoundary" xfId="2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1350</xdr:row>
      <xdr:rowOff>0</xdr:rowOff>
    </xdr:from>
    <xdr:to>
      <xdr:col>3</xdr:col>
      <xdr:colOff>7620</xdr:colOff>
      <xdr:row>1350</xdr:row>
      <xdr:rowOff>7620</xdr:rowOff>
    </xdr:to>
    <xdr:pic>
      <xdr:nvPicPr>
        <xdr:cNvPr id="2045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4100" y="6770370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g2014-dev.cloudapp.net/api/V5/Kiosk/Directory/DirectoryListForStation/EC75906F-B96E-4372-93C8-CF92F265279A/B/RaleighEmergencyC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5758"/>
  <sheetViews>
    <sheetView tabSelected="1" zoomScaleNormal="100" workbookViewId="0">
      <pane ySplit="2" topLeftCell="A1253" activePane="bottomLeft" state="frozenSplit"/>
      <selection pane="bottomLeft" activeCell="C1272" sqref="C1272"/>
    </sheetView>
  </sheetViews>
  <sheetFormatPr defaultRowHeight="13.2" x14ac:dyDescent="0.25"/>
  <cols>
    <col min="1" max="1" width="12.109375" style="20" customWidth="1"/>
    <col min="2" max="2" width="11.109375" style="1" customWidth="1"/>
    <col min="3" max="3" width="10.6640625" style="1" customWidth="1"/>
    <col min="4" max="4" width="10" style="4" customWidth="1"/>
    <col min="5" max="5" width="7.6640625" style="21" customWidth="1"/>
    <col min="6" max="6" width="9.88671875" style="25" customWidth="1"/>
    <col min="7" max="7" width="11" style="3" customWidth="1"/>
    <col min="8" max="8" width="18.88671875" style="3" bestFit="1" customWidth="1"/>
    <col min="9" max="9" width="51.109375" style="3" customWidth="1"/>
    <col min="10" max="10" width="10.6640625" style="15" customWidth="1"/>
    <col min="11" max="11" width="9.88671875" style="2" customWidth="1"/>
    <col min="13" max="13" width="11.5546875" customWidth="1"/>
    <col min="14" max="18" width="10.44140625" customWidth="1"/>
    <col min="19" max="19" width="12.33203125" customWidth="1"/>
    <col min="20" max="20" width="13.44140625" bestFit="1" customWidth="1"/>
  </cols>
  <sheetData>
    <row r="1" spans="1:13" ht="25.5" customHeight="1" x14ac:dyDescent="0.25">
      <c r="A1" s="20" t="s">
        <v>369</v>
      </c>
      <c r="B1" s="1" t="s">
        <v>370</v>
      </c>
      <c r="C1" s="1" t="s">
        <v>371</v>
      </c>
      <c r="D1" s="4" t="s">
        <v>4</v>
      </c>
      <c r="E1" s="21" t="s">
        <v>0</v>
      </c>
      <c r="F1" s="25" t="s">
        <v>3</v>
      </c>
      <c r="G1" s="3" t="s">
        <v>194</v>
      </c>
      <c r="H1" s="3" t="s">
        <v>5</v>
      </c>
      <c r="I1" s="3" t="s">
        <v>2</v>
      </c>
      <c r="J1" s="24" t="s">
        <v>167</v>
      </c>
      <c r="K1" s="2" t="s">
        <v>1</v>
      </c>
      <c r="L1" s="3" t="s">
        <v>366</v>
      </c>
      <c r="M1" s="32" t="s">
        <v>399</v>
      </c>
    </row>
    <row r="2" spans="1:13" ht="15" customHeight="1" x14ac:dyDescent="0.25">
      <c r="E2" s="23">
        <f>SUM(E3:E100948)*24</f>
        <v>1134.0333333333331</v>
      </c>
      <c r="J2" s="14"/>
    </row>
    <row r="3" spans="1:13" x14ac:dyDescent="0.25">
      <c r="A3" s="20">
        <v>41135</v>
      </c>
      <c r="B3" s="1">
        <v>0.73958333333333337</v>
      </c>
      <c r="C3" s="1">
        <v>0.76180555555555562</v>
      </c>
      <c r="D3" s="4">
        <v>2.0833333333333333E-3</v>
      </c>
      <c r="E3" s="21">
        <f t="shared" ref="E3:E24" si="0">IF(D3&lt;(12/1440),C3-B3,C3-B3-D3+(12/1440))</f>
        <v>2.2222222222222254E-2</v>
      </c>
      <c r="F3" s="25">
        <f>SUM(E3:E11)</f>
        <v>0.26527777777777772</v>
      </c>
      <c r="I3" s="3" t="s">
        <v>65</v>
      </c>
      <c r="K3" s="2" t="s">
        <v>8</v>
      </c>
    </row>
    <row r="4" spans="1:13" x14ac:dyDescent="0.25">
      <c r="A4" s="20">
        <v>41135</v>
      </c>
      <c r="B4" s="1">
        <v>0.76250000000000007</v>
      </c>
      <c r="C4" s="1">
        <v>0.78125</v>
      </c>
      <c r="D4" s="4">
        <v>5.5555555555555558E-3</v>
      </c>
      <c r="E4" s="21">
        <f t="shared" si="0"/>
        <v>1.8749999999999933E-2</v>
      </c>
      <c r="F4" s="26"/>
      <c r="I4" s="3" t="s">
        <v>7</v>
      </c>
      <c r="K4" s="2" t="s">
        <v>9</v>
      </c>
    </row>
    <row r="5" spans="1:13" x14ac:dyDescent="0.25">
      <c r="A5" s="20">
        <v>41135</v>
      </c>
      <c r="B5" s="1">
        <v>0.84027777777777779</v>
      </c>
      <c r="C5" s="1">
        <v>0.9159722222222223</v>
      </c>
      <c r="E5" s="21">
        <f t="shared" si="0"/>
        <v>7.5694444444444509E-2</v>
      </c>
      <c r="F5" s="27"/>
      <c r="I5" s="3" t="s">
        <v>7</v>
      </c>
      <c r="K5" s="2" t="s">
        <v>9</v>
      </c>
    </row>
    <row r="6" spans="1:13" x14ac:dyDescent="0.25">
      <c r="E6" s="21">
        <f t="shared" si="0"/>
        <v>0</v>
      </c>
    </row>
    <row r="7" spans="1:13" x14ac:dyDescent="0.25">
      <c r="A7" s="20">
        <v>41136</v>
      </c>
      <c r="B7" s="1">
        <v>0.8208333333333333</v>
      </c>
      <c r="C7" s="1">
        <v>0.84861111111111109</v>
      </c>
      <c r="E7" s="21">
        <f t="shared" si="0"/>
        <v>2.777777777777779E-2</v>
      </c>
      <c r="I7" s="3" t="s">
        <v>7</v>
      </c>
      <c r="K7" s="2" t="s">
        <v>9</v>
      </c>
    </row>
    <row r="8" spans="1:13" x14ac:dyDescent="0.25">
      <c r="A8" s="20">
        <v>41136</v>
      </c>
      <c r="B8" s="1">
        <v>0.86319444444444438</v>
      </c>
      <c r="C8" s="1">
        <v>0.92291666666666661</v>
      </c>
      <c r="E8" s="21">
        <f t="shared" si="0"/>
        <v>5.9722222222222232E-2</v>
      </c>
      <c r="I8" s="3" t="s">
        <v>7</v>
      </c>
      <c r="K8" s="2" t="s">
        <v>9</v>
      </c>
    </row>
    <row r="9" spans="1:13" x14ac:dyDescent="0.25">
      <c r="E9" s="21">
        <f t="shared" si="0"/>
        <v>0</v>
      </c>
    </row>
    <row r="10" spans="1:13" x14ac:dyDescent="0.25">
      <c r="A10" s="20">
        <v>41139</v>
      </c>
      <c r="B10" s="1">
        <v>0.76041666666666663</v>
      </c>
      <c r="C10" s="1">
        <v>0.77777777777777779</v>
      </c>
      <c r="E10" s="21">
        <f t="shared" si="0"/>
        <v>1.736111111111116E-2</v>
      </c>
      <c r="I10" s="3" t="s">
        <v>7</v>
      </c>
      <c r="K10" s="2" t="s">
        <v>10</v>
      </c>
    </row>
    <row r="11" spans="1:13" x14ac:dyDescent="0.25">
      <c r="A11" s="20">
        <v>41139</v>
      </c>
      <c r="B11" s="1">
        <v>0.78819444444444453</v>
      </c>
      <c r="C11" s="1">
        <v>0.83194444444444438</v>
      </c>
      <c r="E11" s="21">
        <f t="shared" si="0"/>
        <v>4.3749999999999845E-2</v>
      </c>
      <c r="I11" s="3" t="s">
        <v>7</v>
      </c>
      <c r="K11" s="2" t="s">
        <v>10</v>
      </c>
    </row>
    <row r="12" spans="1:13" x14ac:dyDescent="0.25">
      <c r="E12" s="21">
        <f t="shared" si="0"/>
        <v>0</v>
      </c>
    </row>
    <row r="13" spans="1:13" x14ac:dyDescent="0.25">
      <c r="A13" s="20">
        <v>41140</v>
      </c>
      <c r="B13" s="1">
        <v>0.84652777777777777</v>
      </c>
      <c r="C13" s="1">
        <v>0.9277777777777777</v>
      </c>
      <c r="E13" s="21">
        <f t="shared" si="0"/>
        <v>8.1249999999999933E-2</v>
      </c>
      <c r="F13" s="25">
        <f>SUM(E13:E28)</f>
        <v>0.60347222222222197</v>
      </c>
      <c r="I13" s="3" t="s">
        <v>7</v>
      </c>
      <c r="K13" s="2" t="s">
        <v>10</v>
      </c>
    </row>
    <row r="14" spans="1:13" x14ac:dyDescent="0.25">
      <c r="E14" s="21">
        <f t="shared" si="0"/>
        <v>0</v>
      </c>
      <c r="F14" s="26"/>
    </row>
    <row r="15" spans="1:13" x14ac:dyDescent="0.25">
      <c r="A15" s="20">
        <v>41141</v>
      </c>
      <c r="B15" s="1">
        <v>0.78194444444444444</v>
      </c>
      <c r="C15" s="1">
        <v>0.79166666666666663</v>
      </c>
      <c r="E15" s="21">
        <f t="shared" si="0"/>
        <v>9.7222222222221877E-3</v>
      </c>
      <c r="F15" s="27"/>
      <c r="I15" s="3" t="s">
        <v>65</v>
      </c>
      <c r="K15" s="2" t="s">
        <v>11</v>
      </c>
    </row>
    <row r="16" spans="1:13" x14ac:dyDescent="0.25">
      <c r="A16" s="20">
        <v>41141</v>
      </c>
      <c r="B16" s="1">
        <f>C15</f>
        <v>0.79166666666666663</v>
      </c>
      <c r="C16" s="1">
        <v>0.81597222222222221</v>
      </c>
      <c r="E16" s="21">
        <f t="shared" si="0"/>
        <v>2.430555555555558E-2</v>
      </c>
      <c r="I16" s="3" t="s">
        <v>7</v>
      </c>
      <c r="K16" s="2" t="s">
        <v>10</v>
      </c>
    </row>
    <row r="17" spans="1:11" x14ac:dyDescent="0.25">
      <c r="A17" s="20">
        <v>41141</v>
      </c>
      <c r="B17" s="1">
        <v>0.83611111111111114</v>
      </c>
      <c r="C17" s="1">
        <v>0.84722222222222221</v>
      </c>
      <c r="E17" s="21">
        <f t="shared" si="0"/>
        <v>1.1111111111111072E-2</v>
      </c>
      <c r="I17" s="3" t="s">
        <v>7</v>
      </c>
      <c r="K17" s="2" t="s">
        <v>10</v>
      </c>
    </row>
    <row r="18" spans="1:11" x14ac:dyDescent="0.25">
      <c r="A18" s="20">
        <v>41141</v>
      </c>
      <c r="B18" s="1">
        <v>0.86597222222222225</v>
      </c>
      <c r="C18" s="1">
        <v>0.89722222222222225</v>
      </c>
      <c r="E18" s="21">
        <f t="shared" si="0"/>
        <v>3.125E-2</v>
      </c>
      <c r="F18" s="26"/>
      <c r="I18" s="3" t="s">
        <v>7</v>
      </c>
      <c r="K18" s="2" t="s">
        <v>10</v>
      </c>
    </row>
    <row r="19" spans="1:11" x14ac:dyDescent="0.25">
      <c r="E19" s="21">
        <f t="shared" si="0"/>
        <v>0</v>
      </c>
      <c r="F19" s="27"/>
    </row>
    <row r="20" spans="1:11" x14ac:dyDescent="0.25">
      <c r="A20" s="20">
        <v>41143</v>
      </c>
      <c r="B20" s="1">
        <v>0.84722222222222221</v>
      </c>
      <c r="C20" s="1">
        <v>0.94097222222222221</v>
      </c>
      <c r="E20" s="21">
        <f t="shared" si="0"/>
        <v>9.375E-2</v>
      </c>
      <c r="I20" s="3" t="s">
        <v>7</v>
      </c>
      <c r="K20" s="2" t="s">
        <v>12</v>
      </c>
    </row>
    <row r="21" spans="1:11" x14ac:dyDescent="0.25">
      <c r="A21" s="20">
        <v>41143</v>
      </c>
      <c r="B21" s="1">
        <v>0.95763888888888893</v>
      </c>
      <c r="C21" s="1">
        <v>0.95763888888888893</v>
      </c>
      <c r="E21" s="21">
        <f t="shared" si="0"/>
        <v>0</v>
      </c>
      <c r="I21" s="3" t="s">
        <v>7</v>
      </c>
    </row>
    <row r="22" spans="1:11" x14ac:dyDescent="0.25">
      <c r="E22" s="21">
        <f t="shared" si="0"/>
        <v>0</v>
      </c>
    </row>
    <row r="23" spans="1:11" x14ac:dyDescent="0.25">
      <c r="A23" s="20">
        <v>41144</v>
      </c>
      <c r="B23" s="1">
        <v>0.53125</v>
      </c>
      <c r="C23" s="1">
        <v>0.57291666666666663</v>
      </c>
      <c r="E23" s="21">
        <f t="shared" si="0"/>
        <v>4.166666666666663E-2</v>
      </c>
      <c r="I23" s="9" t="s">
        <v>13</v>
      </c>
      <c r="K23" s="8" t="s">
        <v>14</v>
      </c>
    </row>
    <row r="24" spans="1:11" x14ac:dyDescent="0.25">
      <c r="E24" s="21">
        <f t="shared" si="0"/>
        <v>0</v>
      </c>
    </row>
    <row r="25" spans="1:11" x14ac:dyDescent="0.25">
      <c r="A25" s="20">
        <v>41146</v>
      </c>
      <c r="B25" s="1">
        <v>0.42430555555555555</v>
      </c>
      <c r="C25" s="1">
        <v>0.55902777777777779</v>
      </c>
      <c r="D25" s="4">
        <v>1.0416666666666666E-2</v>
      </c>
      <c r="E25" s="21">
        <f>IF(D25&lt;(12/1440),C25-B25,C25-B25-D25+(12/1440))</f>
        <v>0.13263888888888892</v>
      </c>
      <c r="I25" s="9" t="s">
        <v>13</v>
      </c>
      <c r="K25" s="8" t="s">
        <v>15</v>
      </c>
    </row>
    <row r="26" spans="1:11" x14ac:dyDescent="0.25">
      <c r="A26" s="20">
        <v>41146</v>
      </c>
      <c r="B26" s="1">
        <v>0.58750000000000002</v>
      </c>
      <c r="C26" s="1">
        <v>0.60763888888888895</v>
      </c>
      <c r="E26" s="21">
        <f t="shared" ref="E26:E69" si="1">IF(D26&lt;(12/1440),C26-B26,C26-B26-D26+(12/1440))</f>
        <v>2.0138888888888928E-2</v>
      </c>
      <c r="I26" s="9" t="s">
        <v>13</v>
      </c>
    </row>
    <row r="27" spans="1:11" x14ac:dyDescent="0.25">
      <c r="A27" s="20">
        <v>41146</v>
      </c>
      <c r="B27" s="1">
        <v>0.63750000000000007</v>
      </c>
      <c r="C27" s="1">
        <v>0.7416666666666667</v>
      </c>
      <c r="D27" s="4">
        <v>1.0416666666666666E-2</v>
      </c>
      <c r="E27" s="21">
        <f t="shared" si="1"/>
        <v>0.10208333333333329</v>
      </c>
      <c r="I27" s="9" t="s">
        <v>13</v>
      </c>
    </row>
    <row r="28" spans="1:11" x14ac:dyDescent="0.25">
      <c r="A28" s="20">
        <v>41146</v>
      </c>
      <c r="B28" s="1">
        <v>0.76527777777777783</v>
      </c>
      <c r="C28" s="1">
        <v>0.8208333333333333</v>
      </c>
      <c r="E28" s="21">
        <f t="shared" si="1"/>
        <v>5.5555555555555469E-2</v>
      </c>
      <c r="I28" s="3" t="s">
        <v>7</v>
      </c>
    </row>
    <row r="29" spans="1:11" x14ac:dyDescent="0.25">
      <c r="E29" s="21">
        <f t="shared" si="1"/>
        <v>0</v>
      </c>
    </row>
    <row r="30" spans="1:11" x14ac:dyDescent="0.25">
      <c r="A30" s="20">
        <v>41147</v>
      </c>
      <c r="B30" s="1">
        <v>0.84305555555555556</v>
      </c>
      <c r="C30" s="1">
        <v>0.93472222222222223</v>
      </c>
      <c r="D30" s="4">
        <v>1.5972222222222224E-2</v>
      </c>
      <c r="E30" s="21">
        <f t="shared" si="1"/>
        <v>8.4027777777777785E-2</v>
      </c>
      <c r="F30" s="25">
        <f>SUM(E30:E42)</f>
        <v>0.29999999999999971</v>
      </c>
      <c r="I30" s="3" t="s">
        <v>7</v>
      </c>
      <c r="K30" s="2" t="s">
        <v>16</v>
      </c>
    </row>
    <row r="31" spans="1:11" x14ac:dyDescent="0.25">
      <c r="E31" s="21">
        <f t="shared" si="1"/>
        <v>0</v>
      </c>
      <c r="F31" s="26"/>
    </row>
    <row r="32" spans="1:11" x14ac:dyDescent="0.25">
      <c r="A32" s="20">
        <v>41148</v>
      </c>
      <c r="B32" s="1">
        <v>0.87222222222222223</v>
      </c>
      <c r="C32" s="1">
        <v>0.87569444444444444</v>
      </c>
      <c r="E32" s="21">
        <f t="shared" si="1"/>
        <v>3.4722222222222099E-3</v>
      </c>
      <c r="F32" s="27"/>
      <c r="I32" s="3" t="s">
        <v>6</v>
      </c>
      <c r="K32" s="2" t="s">
        <v>17</v>
      </c>
    </row>
    <row r="33" spans="1:12" x14ac:dyDescent="0.25">
      <c r="E33" s="21">
        <f t="shared" si="1"/>
        <v>0</v>
      </c>
      <c r="F33" s="27"/>
    </row>
    <row r="34" spans="1:12" x14ac:dyDescent="0.25">
      <c r="A34" s="20">
        <v>41149</v>
      </c>
      <c r="B34" s="1">
        <v>0.88194444444444453</v>
      </c>
      <c r="C34" s="1">
        <v>0.90486111111111101</v>
      </c>
      <c r="E34" s="21">
        <f t="shared" si="1"/>
        <v>2.2916666666666474E-2</v>
      </c>
      <c r="I34" s="9" t="s">
        <v>13</v>
      </c>
      <c r="K34" s="2" t="s">
        <v>18</v>
      </c>
    </row>
    <row r="35" spans="1:12" x14ac:dyDescent="0.25">
      <c r="A35" s="20">
        <v>41149</v>
      </c>
      <c r="B35" s="1">
        <v>0.90902777777777777</v>
      </c>
      <c r="C35" s="1">
        <v>0.92013888888888884</v>
      </c>
      <c r="E35" s="21">
        <f t="shared" si="1"/>
        <v>1.1111111111111072E-2</v>
      </c>
      <c r="F35" s="26"/>
      <c r="I35" s="3" t="s">
        <v>7</v>
      </c>
      <c r="K35" s="2" t="s">
        <v>19</v>
      </c>
    </row>
    <row r="36" spans="1:12" x14ac:dyDescent="0.25">
      <c r="E36" s="21">
        <f t="shared" si="1"/>
        <v>0</v>
      </c>
    </row>
    <row r="37" spans="1:12" x14ac:dyDescent="0.25">
      <c r="A37" s="20">
        <v>41152</v>
      </c>
      <c r="B37" s="1">
        <v>0.78888888888888886</v>
      </c>
      <c r="C37" s="1">
        <v>0.8125</v>
      </c>
      <c r="E37" s="21">
        <f t="shared" si="1"/>
        <v>2.3611111111111138E-2</v>
      </c>
      <c r="I37" s="9" t="s">
        <v>13</v>
      </c>
      <c r="K37" s="2" t="s">
        <v>18</v>
      </c>
    </row>
    <row r="38" spans="1:12" x14ac:dyDescent="0.25">
      <c r="A38" s="20">
        <v>41152</v>
      </c>
      <c r="B38" s="1">
        <v>0.85138888888888886</v>
      </c>
      <c r="C38" s="1">
        <v>0.88263888888888886</v>
      </c>
      <c r="E38" s="21">
        <f t="shared" si="1"/>
        <v>3.125E-2</v>
      </c>
      <c r="F38" s="26"/>
      <c r="I38" s="3" t="s">
        <v>7</v>
      </c>
      <c r="K38" s="2" t="s">
        <v>20</v>
      </c>
    </row>
    <row r="39" spans="1:12" x14ac:dyDescent="0.25">
      <c r="A39" s="20">
        <v>41152</v>
      </c>
      <c r="B39" s="1">
        <v>0.90625</v>
      </c>
      <c r="C39" s="1">
        <v>0.92569444444444438</v>
      </c>
      <c r="E39" s="21">
        <f t="shared" si="1"/>
        <v>1.9444444444444375E-2</v>
      </c>
      <c r="I39" s="3" t="s">
        <v>7</v>
      </c>
      <c r="K39" s="2" t="s">
        <v>21</v>
      </c>
    </row>
    <row r="40" spans="1:12" x14ac:dyDescent="0.25">
      <c r="E40" s="21">
        <f t="shared" si="1"/>
        <v>0</v>
      </c>
    </row>
    <row r="41" spans="1:12" x14ac:dyDescent="0.25">
      <c r="A41" s="20">
        <v>41153</v>
      </c>
      <c r="B41" s="1">
        <v>0.49722222222222223</v>
      </c>
      <c r="C41" s="1">
        <v>0.57638888888888895</v>
      </c>
      <c r="D41" s="4">
        <v>4.1666666666666666E-3</v>
      </c>
      <c r="E41" s="21">
        <f t="shared" si="1"/>
        <v>7.9166666666666718E-2</v>
      </c>
      <c r="F41" s="26"/>
      <c r="I41" s="3" t="s">
        <v>7</v>
      </c>
      <c r="K41" s="2" t="s">
        <v>21</v>
      </c>
    </row>
    <row r="42" spans="1:12" x14ac:dyDescent="0.25">
      <c r="A42" s="20">
        <v>41153</v>
      </c>
      <c r="B42" s="1">
        <v>0.65277777777777779</v>
      </c>
      <c r="C42" s="1">
        <v>0.68055555555555547</v>
      </c>
      <c r="D42" s="4">
        <v>1.1111111111111112E-2</v>
      </c>
      <c r="E42" s="21">
        <f t="shared" si="1"/>
        <v>2.4999999999999897E-2</v>
      </c>
      <c r="I42" s="3" t="s">
        <v>7</v>
      </c>
      <c r="K42" s="2" t="s">
        <v>22</v>
      </c>
    </row>
    <row r="43" spans="1:12" x14ac:dyDescent="0.25">
      <c r="E43" s="21">
        <f t="shared" si="1"/>
        <v>0</v>
      </c>
    </row>
    <row r="44" spans="1:12" x14ac:dyDescent="0.25">
      <c r="A44" s="20">
        <v>41155</v>
      </c>
      <c r="B44" s="1">
        <v>0.62847222222222221</v>
      </c>
      <c r="C44" s="1">
        <v>0.67638888888888893</v>
      </c>
      <c r="D44" s="4">
        <v>3.472222222222222E-3</v>
      </c>
      <c r="E44" s="21">
        <f t="shared" si="1"/>
        <v>4.7916666666666718E-2</v>
      </c>
      <c r="F44" s="25">
        <f>SUM(E44:E55)</f>
        <v>0.42916666666666703</v>
      </c>
      <c r="I44" s="3" t="s">
        <v>65</v>
      </c>
      <c r="K44" s="2" t="s">
        <v>8</v>
      </c>
    </row>
    <row r="45" spans="1:12" x14ac:dyDescent="0.25">
      <c r="A45" s="20">
        <v>41155</v>
      </c>
      <c r="B45" s="1">
        <f>C44</f>
        <v>0.67638888888888893</v>
      </c>
      <c r="C45" s="1">
        <v>0.7583333333333333</v>
      </c>
      <c r="E45" s="21">
        <f t="shared" si="1"/>
        <v>8.1944444444444375E-2</v>
      </c>
      <c r="I45" s="9" t="s">
        <v>13</v>
      </c>
      <c r="K45" s="8" t="s">
        <v>23</v>
      </c>
    </row>
    <row r="46" spans="1:12" x14ac:dyDescent="0.25">
      <c r="A46" s="20">
        <v>41155</v>
      </c>
      <c r="B46" s="1">
        <v>0.875</v>
      </c>
      <c r="C46" s="1">
        <v>0.92083333333333339</v>
      </c>
      <c r="E46" s="21">
        <f t="shared" si="1"/>
        <v>4.5833333333333393E-2</v>
      </c>
      <c r="I46" s="3" t="s">
        <v>7</v>
      </c>
      <c r="K46" s="2" t="s">
        <v>24</v>
      </c>
      <c r="L46" s="22"/>
    </row>
    <row r="47" spans="1:12" x14ac:dyDescent="0.25">
      <c r="E47" s="21">
        <f t="shared" si="1"/>
        <v>0</v>
      </c>
      <c r="L47" s="22"/>
    </row>
    <row r="48" spans="1:12" x14ac:dyDescent="0.25">
      <c r="A48" s="20">
        <v>41156</v>
      </c>
      <c r="B48" s="1">
        <v>0.81111111111111101</v>
      </c>
      <c r="C48" s="1">
        <v>0.85277777777777775</v>
      </c>
      <c r="E48" s="21">
        <f t="shared" si="1"/>
        <v>4.1666666666666741E-2</v>
      </c>
      <c r="F48" s="26"/>
      <c r="I48" s="9" t="s">
        <v>13</v>
      </c>
      <c r="K48" s="8" t="s">
        <v>25</v>
      </c>
    </row>
    <row r="49" spans="1:11" x14ac:dyDescent="0.25">
      <c r="A49" s="20">
        <v>41156</v>
      </c>
      <c r="B49" s="1">
        <v>0.85486111111111107</v>
      </c>
      <c r="C49" s="1">
        <v>0.85555555555555562</v>
      </c>
      <c r="E49" s="21">
        <f t="shared" si="1"/>
        <v>6.94444444444553E-4</v>
      </c>
      <c r="F49" s="27"/>
      <c r="I49" s="3" t="s">
        <v>7</v>
      </c>
    </row>
    <row r="50" spans="1:11" x14ac:dyDescent="0.25">
      <c r="E50" s="21">
        <f t="shared" si="1"/>
        <v>0</v>
      </c>
    </row>
    <row r="51" spans="1:11" x14ac:dyDescent="0.25">
      <c r="A51" s="20">
        <v>41159</v>
      </c>
      <c r="B51" s="1">
        <v>0.87083333333333324</v>
      </c>
      <c r="C51" s="1">
        <v>0.9472222222222223</v>
      </c>
      <c r="E51" s="21">
        <f t="shared" si="1"/>
        <v>7.6388888888889062E-2</v>
      </c>
      <c r="I51" s="3" t="s">
        <v>7</v>
      </c>
      <c r="K51" s="2" t="s">
        <v>26</v>
      </c>
    </row>
    <row r="52" spans="1:11" x14ac:dyDescent="0.25">
      <c r="E52" s="21">
        <f t="shared" si="1"/>
        <v>0</v>
      </c>
    </row>
    <row r="53" spans="1:11" x14ac:dyDescent="0.25">
      <c r="A53" s="20">
        <v>41160</v>
      </c>
      <c r="B53" s="1">
        <v>0.50347222222222221</v>
      </c>
      <c r="C53" s="1">
        <v>0.60972222222222217</v>
      </c>
      <c r="D53" s="4">
        <v>1.1111111111111112E-2</v>
      </c>
      <c r="E53" s="21">
        <f t="shared" si="1"/>
        <v>0.10347222222222217</v>
      </c>
      <c r="I53" s="3" t="s">
        <v>7</v>
      </c>
      <c r="K53" s="2" t="s">
        <v>26</v>
      </c>
    </row>
    <row r="54" spans="1:11" x14ac:dyDescent="0.25">
      <c r="A54" s="20">
        <v>41160</v>
      </c>
      <c r="B54" s="1">
        <v>0.72638888888888886</v>
      </c>
      <c r="C54" s="1">
        <v>0.75763888888888886</v>
      </c>
      <c r="E54" s="21">
        <f t="shared" si="1"/>
        <v>3.125E-2</v>
      </c>
      <c r="I54" s="3" t="s">
        <v>7</v>
      </c>
      <c r="K54" s="2" t="s">
        <v>26</v>
      </c>
    </row>
    <row r="55" spans="1:11" x14ac:dyDescent="0.25">
      <c r="E55" s="21">
        <f t="shared" si="1"/>
        <v>0</v>
      </c>
    </row>
    <row r="56" spans="1:11" x14ac:dyDescent="0.25">
      <c r="A56" s="20">
        <v>41161</v>
      </c>
      <c r="B56" s="1">
        <v>0.86111111111111116</v>
      </c>
      <c r="C56" s="1">
        <v>0.94166666666666676</v>
      </c>
      <c r="D56" s="4">
        <v>9.0277777777777787E-3</v>
      </c>
      <c r="E56" s="21">
        <f t="shared" si="1"/>
        <v>7.986111111111116E-2</v>
      </c>
      <c r="F56" s="25">
        <f>SUM(E56:E64)</f>
        <v>0.48958333333333343</v>
      </c>
      <c r="I56" s="3" t="s">
        <v>7</v>
      </c>
      <c r="K56" s="2" t="s">
        <v>26</v>
      </c>
    </row>
    <row r="58" spans="1:11" x14ac:dyDescent="0.25">
      <c r="A58" s="20">
        <v>41162</v>
      </c>
      <c r="B58" s="1">
        <v>0.73611111111111116</v>
      </c>
      <c r="C58" s="1">
        <v>0.83333333333333337</v>
      </c>
      <c r="E58" s="21">
        <f>IF(D58&lt;(12/1440),C58-B58,C58-B58-D58+(12/1440))</f>
        <v>9.722222222222221E-2</v>
      </c>
      <c r="I58" s="9" t="s">
        <v>13</v>
      </c>
      <c r="K58" s="2" t="s">
        <v>28</v>
      </c>
    </row>
    <row r="59" spans="1:11" x14ac:dyDescent="0.25">
      <c r="A59" s="20">
        <v>41162</v>
      </c>
      <c r="B59" s="1">
        <v>0.83333333333333337</v>
      </c>
      <c r="C59" s="1">
        <v>0.91319444444444453</v>
      </c>
      <c r="E59" s="21">
        <f t="shared" si="1"/>
        <v>7.986111111111116E-2</v>
      </c>
      <c r="I59" s="3" t="s">
        <v>7</v>
      </c>
      <c r="K59" s="2" t="s">
        <v>27</v>
      </c>
    </row>
    <row r="60" spans="1:11" x14ac:dyDescent="0.25">
      <c r="E60" s="21">
        <f t="shared" si="1"/>
        <v>0</v>
      </c>
    </row>
    <row r="61" spans="1:11" x14ac:dyDescent="0.25">
      <c r="A61" s="20">
        <v>41166</v>
      </c>
      <c r="B61" s="1">
        <v>0.875</v>
      </c>
      <c r="C61" s="1">
        <v>0.94791666666666663</v>
      </c>
      <c r="E61" s="21">
        <f t="shared" si="1"/>
        <v>7.291666666666663E-2</v>
      </c>
      <c r="I61" s="3" t="s">
        <v>7</v>
      </c>
      <c r="K61" s="2" t="s">
        <v>29</v>
      </c>
    </row>
    <row r="62" spans="1:11" x14ac:dyDescent="0.25">
      <c r="E62" s="21">
        <f t="shared" si="1"/>
        <v>0</v>
      </c>
      <c r="F62" s="26"/>
    </row>
    <row r="63" spans="1:11" x14ac:dyDescent="0.25">
      <c r="A63" s="20">
        <v>41167</v>
      </c>
      <c r="B63" s="1">
        <v>0.53402777777777777</v>
      </c>
      <c r="C63" s="1">
        <v>0.62569444444444444</v>
      </c>
      <c r="D63" s="4">
        <v>2.0833333333333332E-2</v>
      </c>
      <c r="E63" s="21">
        <f t="shared" si="1"/>
        <v>7.9166666666666677E-2</v>
      </c>
      <c r="I63" s="3" t="s">
        <v>7</v>
      </c>
      <c r="K63" s="2" t="s">
        <v>30</v>
      </c>
    </row>
    <row r="64" spans="1:11" x14ac:dyDescent="0.25">
      <c r="A64" s="20">
        <v>41167</v>
      </c>
      <c r="B64" s="1">
        <v>0.65972222222222221</v>
      </c>
      <c r="C64" s="1">
        <v>0.74236111111111114</v>
      </c>
      <c r="D64" s="4">
        <v>1.0416666666666666E-2</v>
      </c>
      <c r="E64" s="21">
        <f t="shared" si="1"/>
        <v>8.0555555555555589E-2</v>
      </c>
      <c r="I64" s="3" t="s">
        <v>7</v>
      </c>
      <c r="K64" s="2" t="s">
        <v>30</v>
      </c>
    </row>
    <row r="65" spans="1:11" x14ac:dyDescent="0.25">
      <c r="E65" s="21">
        <f t="shared" si="1"/>
        <v>0</v>
      </c>
    </row>
    <row r="66" spans="1:11" x14ac:dyDescent="0.25">
      <c r="A66" s="20">
        <v>41168</v>
      </c>
      <c r="B66" s="1">
        <v>0.81527777777777777</v>
      </c>
      <c r="C66" s="1">
        <v>0.86111111111111116</v>
      </c>
      <c r="E66" s="21">
        <f t="shared" si="1"/>
        <v>4.5833333333333393E-2</v>
      </c>
      <c r="F66" s="25">
        <f>SUM(E66:E70)</f>
        <v>0.14097222222222211</v>
      </c>
      <c r="I66" s="3" t="s">
        <v>7</v>
      </c>
      <c r="K66" s="2" t="s">
        <v>30</v>
      </c>
    </row>
    <row r="67" spans="1:11" x14ac:dyDescent="0.25">
      <c r="E67" s="21">
        <f t="shared" si="1"/>
        <v>0</v>
      </c>
    </row>
    <row r="68" spans="1:11" x14ac:dyDescent="0.25">
      <c r="A68" s="20">
        <v>41170</v>
      </c>
      <c r="B68" s="1">
        <v>0.86597222222222225</v>
      </c>
      <c r="C68" s="1">
        <v>0.95694444444444438</v>
      </c>
      <c r="D68" s="4">
        <v>2.2916666666666669E-2</v>
      </c>
      <c r="E68" s="21">
        <f t="shared" si="1"/>
        <v>7.6388888888888784E-2</v>
      </c>
      <c r="F68" s="26"/>
      <c r="I68" s="3" t="s">
        <v>7</v>
      </c>
      <c r="K68" s="2" t="s">
        <v>31</v>
      </c>
    </row>
    <row r="69" spans="1:11" x14ac:dyDescent="0.25">
      <c r="A69" s="20">
        <v>41170</v>
      </c>
      <c r="B69" s="1">
        <v>0.96875</v>
      </c>
      <c r="C69" s="1">
        <v>0.98749999999999993</v>
      </c>
      <c r="E69" s="21">
        <f t="shared" si="1"/>
        <v>1.8749999999999933E-2</v>
      </c>
      <c r="F69" s="27"/>
      <c r="I69" s="3" t="s">
        <v>7</v>
      </c>
      <c r="K69" s="2" t="s">
        <v>31</v>
      </c>
    </row>
    <row r="71" spans="1:11" x14ac:dyDescent="0.25">
      <c r="A71" s="20">
        <v>41176</v>
      </c>
      <c r="B71" s="1">
        <v>0.66666666666666663</v>
      </c>
      <c r="C71" s="1">
        <v>0.77013888888888893</v>
      </c>
      <c r="D71" s="4">
        <v>1.2499999999999999E-2</v>
      </c>
      <c r="E71" s="21">
        <f>IF(D71&lt;(12/1440),C71-B71,C71-B71-D71+(12/1440))</f>
        <v>9.9305555555555633E-2</v>
      </c>
      <c r="F71" s="25">
        <f>SUM(E71:E83)</f>
        <v>0.58819444444444458</v>
      </c>
      <c r="I71" s="3" t="s">
        <v>7</v>
      </c>
      <c r="K71" s="2" t="s">
        <v>31</v>
      </c>
    </row>
    <row r="73" spans="1:11" x14ac:dyDescent="0.25">
      <c r="A73" s="20">
        <v>41178</v>
      </c>
      <c r="B73" s="1">
        <v>0.875</v>
      </c>
      <c r="C73" s="1">
        <v>0.9375</v>
      </c>
      <c r="E73" s="21">
        <f>IF(D73&lt;(12/1440),C73-B73,C73-B73-D73+(12/1440))</f>
        <v>6.25E-2</v>
      </c>
      <c r="F73" s="27"/>
      <c r="I73" s="3" t="s">
        <v>7</v>
      </c>
      <c r="K73" s="2" t="s">
        <v>31</v>
      </c>
    </row>
    <row r="75" spans="1:11" x14ac:dyDescent="0.25">
      <c r="A75" s="20">
        <v>41179</v>
      </c>
      <c r="B75" s="1">
        <v>0.82916666666666661</v>
      </c>
      <c r="C75" s="1">
        <v>0.83333333333333337</v>
      </c>
      <c r="E75" s="21">
        <f>IF(D75&lt;(12/1440),C75-B75,C75-B75-D75+(12/1440))</f>
        <v>4.1666666666667629E-3</v>
      </c>
      <c r="F75" s="27"/>
      <c r="I75" s="3" t="s">
        <v>7</v>
      </c>
      <c r="K75" s="2" t="s">
        <v>31</v>
      </c>
    </row>
    <row r="77" spans="1:11" x14ac:dyDescent="0.25">
      <c r="A77" s="20">
        <v>41180</v>
      </c>
      <c r="B77" s="1">
        <v>0.82986111111111116</v>
      </c>
      <c r="C77" s="1">
        <v>0.95763888888888893</v>
      </c>
      <c r="D77" s="4">
        <v>2.4305555555555556E-2</v>
      </c>
      <c r="E77" s="21">
        <f>IF(D77&lt;(12/1440),C77-B77,C77-B77-D77+(12/1440))</f>
        <v>0.11180555555555555</v>
      </c>
      <c r="F77" s="27"/>
      <c r="I77" s="3" t="s">
        <v>7</v>
      </c>
      <c r="K77" s="2" t="s">
        <v>31</v>
      </c>
    </row>
    <row r="79" spans="1:11" x14ac:dyDescent="0.25">
      <c r="A79" s="20">
        <v>41181</v>
      </c>
      <c r="B79" s="1">
        <v>0.42777777777777781</v>
      </c>
      <c r="C79" s="1">
        <v>0.47152777777777777</v>
      </c>
      <c r="E79" s="21">
        <f>IF(D79&lt;(12/1440),C79-B79,C79-B79-D79+(12/1440))</f>
        <v>4.3749999999999956E-2</v>
      </c>
      <c r="F79" s="27"/>
      <c r="I79" s="3" t="s">
        <v>7</v>
      </c>
      <c r="K79" s="2" t="s">
        <v>31</v>
      </c>
    </row>
    <row r="80" spans="1:11" x14ac:dyDescent="0.25">
      <c r="A80" s="20">
        <v>41181</v>
      </c>
      <c r="B80" s="1">
        <v>0.56874999999999998</v>
      </c>
      <c r="C80" s="1">
        <v>0.67986111111111114</v>
      </c>
      <c r="D80" s="4">
        <v>2.7777777777777776E-2</v>
      </c>
      <c r="E80" s="21">
        <f>IF(D80&lt;(12/1440),C80-B80,C80-B80-D80+(12/1440))</f>
        <v>9.1666666666666716E-2</v>
      </c>
      <c r="F80" s="27"/>
      <c r="I80" s="3" t="s">
        <v>7</v>
      </c>
      <c r="K80" s="2" t="s">
        <v>31</v>
      </c>
    </row>
    <row r="81" spans="1:11" x14ac:dyDescent="0.25">
      <c r="A81" s="20">
        <v>41181</v>
      </c>
      <c r="B81" s="1">
        <v>0.7104166666666667</v>
      </c>
      <c r="C81" s="1">
        <v>0.79166666666666663</v>
      </c>
      <c r="D81" s="4">
        <v>2.0833333333333333E-3</v>
      </c>
      <c r="E81" s="21">
        <f>IF(D81&lt;(12/1440),C81-B81,C81-B81-D81+(12/1440))</f>
        <v>8.1249999999999933E-2</v>
      </c>
      <c r="F81" s="27"/>
      <c r="I81" s="3" t="s">
        <v>7</v>
      </c>
      <c r="K81" s="2" t="s">
        <v>32</v>
      </c>
    </row>
    <row r="82" spans="1:11" x14ac:dyDescent="0.25">
      <c r="A82" s="20">
        <v>41181</v>
      </c>
      <c r="B82" s="1">
        <v>0.83680555555555547</v>
      </c>
      <c r="C82" s="1">
        <v>0.93055555555555547</v>
      </c>
      <c r="D82" s="4">
        <v>5.5555555555555558E-3</v>
      </c>
      <c r="E82" s="21">
        <f t="shared" ref="E82:E94" si="2">IF(D82&lt;(12/1440),C82-B82,C82-B82-D82+(12/1440))</f>
        <v>9.375E-2</v>
      </c>
      <c r="F82" s="27"/>
      <c r="I82" s="3" t="s">
        <v>7</v>
      </c>
      <c r="K82" s="2" t="s">
        <v>32</v>
      </c>
    </row>
    <row r="83" spans="1:11" x14ac:dyDescent="0.25">
      <c r="F83" s="26"/>
    </row>
    <row r="84" spans="1:11" x14ac:dyDescent="0.25">
      <c r="A84" s="20">
        <v>41182</v>
      </c>
      <c r="B84" s="1">
        <v>0.82708333333333339</v>
      </c>
      <c r="C84" s="1">
        <v>0.91527777777777775</v>
      </c>
      <c r="D84" s="4">
        <v>1.4583333333333332E-2</v>
      </c>
      <c r="E84" s="21">
        <f t="shared" si="2"/>
        <v>8.1944444444444348E-2</v>
      </c>
      <c r="F84" s="25">
        <f>SUM(E84:E95)</f>
        <v>0.3604166666666665</v>
      </c>
      <c r="I84" s="3" t="s">
        <v>7</v>
      </c>
      <c r="K84" s="2" t="s">
        <v>32</v>
      </c>
    </row>
    <row r="86" spans="1:11" x14ac:dyDescent="0.25">
      <c r="A86" s="20">
        <v>41183</v>
      </c>
      <c r="B86" s="1">
        <v>0.79166666666666663</v>
      </c>
      <c r="C86" s="1">
        <v>0.83333333333333337</v>
      </c>
      <c r="E86" s="21">
        <f t="shared" si="2"/>
        <v>4.1666666666666741E-2</v>
      </c>
      <c r="I86" s="3" t="s">
        <v>13</v>
      </c>
      <c r="K86" s="2" t="s">
        <v>33</v>
      </c>
    </row>
    <row r="87" spans="1:11" x14ac:dyDescent="0.25">
      <c r="E87" s="21">
        <f t="shared" si="2"/>
        <v>0</v>
      </c>
    </row>
    <row r="88" spans="1:11" x14ac:dyDescent="0.25">
      <c r="A88" s="20">
        <v>41184</v>
      </c>
      <c r="B88" s="1">
        <v>0.3520833333333333</v>
      </c>
      <c r="C88" s="1">
        <v>0.3659722222222222</v>
      </c>
      <c r="E88" s="21">
        <f t="shared" si="2"/>
        <v>1.3888888888888895E-2</v>
      </c>
      <c r="I88" s="3" t="s">
        <v>7</v>
      </c>
      <c r="K88" s="2" t="s">
        <v>34</v>
      </c>
    </row>
    <row r="89" spans="1:11" x14ac:dyDescent="0.25">
      <c r="E89" s="21">
        <f t="shared" si="2"/>
        <v>0</v>
      </c>
    </row>
    <row r="90" spans="1:11" x14ac:dyDescent="0.25">
      <c r="A90" s="20">
        <v>41185</v>
      </c>
      <c r="B90" s="1">
        <v>0.875</v>
      </c>
      <c r="C90" s="1">
        <v>0.91666666666666663</v>
      </c>
      <c r="E90" s="21">
        <f>IF(D90&lt;(12/1440),C90-B90,C90-B90-D90+(12/1440))</f>
        <v>4.166666666666663E-2</v>
      </c>
      <c r="I90" s="3" t="s">
        <v>7</v>
      </c>
    </row>
    <row r="92" spans="1:11" x14ac:dyDescent="0.25">
      <c r="A92" s="20">
        <v>41186</v>
      </c>
      <c r="B92" s="1">
        <v>0.875</v>
      </c>
      <c r="C92" s="1">
        <v>0.91666666666666663</v>
      </c>
      <c r="E92" s="21">
        <f t="shared" si="2"/>
        <v>4.166666666666663E-2</v>
      </c>
      <c r="I92" s="3" t="s">
        <v>7</v>
      </c>
      <c r="K92" s="2" t="s">
        <v>35</v>
      </c>
    </row>
    <row r="94" spans="1:11" x14ac:dyDescent="0.25">
      <c r="A94" s="20">
        <v>41188</v>
      </c>
      <c r="B94" s="1">
        <v>0.56111111111111112</v>
      </c>
      <c r="C94" s="1">
        <v>0.6479166666666667</v>
      </c>
      <c r="D94" s="4">
        <v>1.6666666666666666E-2</v>
      </c>
      <c r="E94" s="21">
        <f t="shared" si="2"/>
        <v>7.8472222222222249E-2</v>
      </c>
      <c r="I94" s="3" t="s">
        <v>7</v>
      </c>
      <c r="K94" s="2" t="s">
        <v>35</v>
      </c>
    </row>
    <row r="95" spans="1:11" x14ac:dyDescent="0.25">
      <c r="A95" s="20">
        <v>41188</v>
      </c>
      <c r="B95" s="1">
        <v>0.74722222222222223</v>
      </c>
      <c r="C95" s="1">
        <v>0.80833333333333324</v>
      </c>
      <c r="D95" s="4">
        <v>6.2499999999999995E-3</v>
      </c>
      <c r="E95" s="21">
        <f t="shared" ref="E95:E103" si="3">IF(D95&lt;(12/1440),C95-B95,C95-B95-D95+(12/1440))</f>
        <v>6.1111111111111005E-2</v>
      </c>
      <c r="I95" s="3" t="s">
        <v>7</v>
      </c>
      <c r="K95" s="2" t="s">
        <v>35</v>
      </c>
    </row>
    <row r="96" spans="1:11" x14ac:dyDescent="0.25">
      <c r="E96" s="21">
        <f t="shared" si="3"/>
        <v>0</v>
      </c>
    </row>
    <row r="97" spans="1:11" x14ac:dyDescent="0.25">
      <c r="A97" s="20">
        <v>41190</v>
      </c>
      <c r="B97" s="1">
        <v>0.68194444444444446</v>
      </c>
      <c r="C97" s="1">
        <v>0.86041666666666661</v>
      </c>
      <c r="D97" s="4">
        <v>2.9861111111111113E-2</v>
      </c>
      <c r="E97" s="21">
        <f t="shared" si="3"/>
        <v>0.15694444444444436</v>
      </c>
      <c r="F97" s="25">
        <f>SUM(E97:E99)</f>
        <v>0.20833333333333329</v>
      </c>
      <c r="I97" s="3" t="s">
        <v>7</v>
      </c>
      <c r="K97" s="2" t="s">
        <v>36</v>
      </c>
    </row>
    <row r="99" spans="1:11" x14ac:dyDescent="0.25">
      <c r="A99" s="20">
        <v>41194</v>
      </c>
      <c r="B99" s="1">
        <v>0.8652777777777777</v>
      </c>
      <c r="C99" s="1">
        <v>0.91666666666666663</v>
      </c>
      <c r="E99" s="21">
        <f t="shared" si="3"/>
        <v>5.1388888888888928E-2</v>
      </c>
      <c r="I99" s="3" t="s">
        <v>7</v>
      </c>
      <c r="K99" s="2" t="s">
        <v>36</v>
      </c>
    </row>
    <row r="101" spans="1:11" x14ac:dyDescent="0.25">
      <c r="A101" s="20">
        <v>41196</v>
      </c>
      <c r="B101" s="1">
        <v>0.81458333333333333</v>
      </c>
      <c r="C101" s="1">
        <v>0.875</v>
      </c>
      <c r="E101" s="21">
        <f t="shared" si="3"/>
        <v>6.0416666666666674E-2</v>
      </c>
      <c r="F101" s="25">
        <f>SUM(E101:E119)</f>
        <v>0.73750000000000016</v>
      </c>
      <c r="I101" s="3" t="s">
        <v>7</v>
      </c>
      <c r="K101" s="2" t="s">
        <v>36</v>
      </c>
    </row>
    <row r="103" spans="1:11" x14ac:dyDescent="0.25">
      <c r="A103" s="20">
        <v>41197</v>
      </c>
      <c r="B103" s="1">
        <v>0.74236111111111114</v>
      </c>
      <c r="C103" s="1">
        <v>0.78263888888888899</v>
      </c>
      <c r="E103" s="21">
        <f t="shared" si="3"/>
        <v>4.0277777777777857E-2</v>
      </c>
      <c r="I103" s="3" t="s">
        <v>7</v>
      </c>
      <c r="K103" s="2" t="s">
        <v>37</v>
      </c>
    </row>
    <row r="104" spans="1:11" x14ac:dyDescent="0.25">
      <c r="A104" s="20">
        <v>41197</v>
      </c>
      <c r="B104" s="1">
        <v>0.8027777777777777</v>
      </c>
      <c r="C104" s="1">
        <v>0.9375</v>
      </c>
      <c r="E104" s="21">
        <f>IF(D104&lt;(12/1440),C104-B104,C104-B104-D104+(12/1440))</f>
        <v>0.1347222222222223</v>
      </c>
      <c r="I104" s="3" t="s">
        <v>7</v>
      </c>
      <c r="K104" s="2" t="s">
        <v>38</v>
      </c>
    </row>
    <row r="106" spans="1:11" x14ac:dyDescent="0.25">
      <c r="A106" s="20">
        <v>41198</v>
      </c>
      <c r="B106" s="1">
        <v>0.84375</v>
      </c>
      <c r="C106" s="1">
        <v>0.87013888888888891</v>
      </c>
      <c r="E106" s="21">
        <f>IF(D106&lt;(12/1440),C106-B106,C106-B106-D106+(12/1440))</f>
        <v>2.6388888888888906E-2</v>
      </c>
      <c r="I106" s="3" t="s">
        <v>7</v>
      </c>
      <c r="K106" s="2" t="s">
        <v>38</v>
      </c>
    </row>
    <row r="107" spans="1:11" x14ac:dyDescent="0.25">
      <c r="A107" s="20">
        <v>41198</v>
      </c>
      <c r="B107" s="1">
        <v>0.97361111111111109</v>
      </c>
      <c r="C107" s="1">
        <v>0.98611111111111116</v>
      </c>
      <c r="E107" s="21">
        <f>IF(D107&lt;(12/1440),C107-B107,C107-B107-D107+(12/1440))</f>
        <v>1.2500000000000067E-2</v>
      </c>
      <c r="I107" s="3" t="s">
        <v>7</v>
      </c>
      <c r="K107" s="2" t="s">
        <v>38</v>
      </c>
    </row>
    <row r="109" spans="1:11" x14ac:dyDescent="0.25">
      <c r="A109" s="20">
        <v>41199</v>
      </c>
      <c r="B109" s="1">
        <v>0.52083333333333337</v>
      </c>
      <c r="C109" s="1">
        <v>0.53472222222222221</v>
      </c>
      <c r="E109" s="21">
        <f t="shared" ref="E109:E136" si="4">IF(D109&lt;(12/1440),C109-B109,C109-B109-D109+(12/1440))</f>
        <v>1.388888888888884E-2</v>
      </c>
      <c r="I109" s="3" t="s">
        <v>7</v>
      </c>
    </row>
    <row r="110" spans="1:11" x14ac:dyDescent="0.25">
      <c r="A110" s="20">
        <v>41199</v>
      </c>
      <c r="B110" s="1">
        <v>0.875</v>
      </c>
      <c r="C110" s="1">
        <v>0.94374999999999998</v>
      </c>
      <c r="D110" s="4">
        <v>1.5277777777777777E-2</v>
      </c>
      <c r="E110" s="21">
        <f t="shared" si="4"/>
        <v>6.180555555555553E-2</v>
      </c>
      <c r="I110" s="3" t="s">
        <v>7</v>
      </c>
    </row>
    <row r="111" spans="1:11" x14ac:dyDescent="0.25">
      <c r="E111" s="21">
        <f t="shared" si="4"/>
        <v>0</v>
      </c>
    </row>
    <row r="112" spans="1:11" x14ac:dyDescent="0.25">
      <c r="A112" s="20">
        <v>41200</v>
      </c>
      <c r="B112" s="1">
        <v>0.88194444444444453</v>
      </c>
      <c r="C112" s="1">
        <v>0.92291666666666661</v>
      </c>
      <c r="D112" s="4">
        <v>2.7777777777777779E-3</v>
      </c>
      <c r="E112" s="21">
        <f t="shared" si="4"/>
        <v>4.0972222222222077E-2</v>
      </c>
      <c r="I112" s="3" t="s">
        <v>7</v>
      </c>
      <c r="K112" s="2" t="s">
        <v>39</v>
      </c>
    </row>
    <row r="113" spans="1:11" x14ac:dyDescent="0.25">
      <c r="E113" s="21">
        <f t="shared" si="4"/>
        <v>0</v>
      </c>
    </row>
    <row r="114" spans="1:11" x14ac:dyDescent="0.25">
      <c r="A114" s="20">
        <v>41201</v>
      </c>
      <c r="B114" s="1">
        <v>0.86736111111111114</v>
      </c>
      <c r="C114" s="1">
        <v>0.91736111111111107</v>
      </c>
      <c r="D114" s="4">
        <v>2.7777777777777779E-3</v>
      </c>
      <c r="E114" s="21">
        <f t="shared" si="4"/>
        <v>4.9999999999999933E-2</v>
      </c>
      <c r="I114" s="3" t="s">
        <v>7</v>
      </c>
      <c r="K114" s="2" t="s">
        <v>40</v>
      </c>
    </row>
    <row r="115" spans="1:11" x14ac:dyDescent="0.25">
      <c r="E115" s="21">
        <f t="shared" si="4"/>
        <v>0</v>
      </c>
    </row>
    <row r="116" spans="1:11" x14ac:dyDescent="0.25">
      <c r="A116" s="20">
        <v>41202</v>
      </c>
      <c r="B116" s="1">
        <v>0.42638888888888887</v>
      </c>
      <c r="C116" s="1">
        <v>0.47638888888888892</v>
      </c>
      <c r="D116" s="4">
        <v>1.0416666666666666E-2</v>
      </c>
      <c r="E116" s="21">
        <f t="shared" si="4"/>
        <v>4.7916666666666712E-2</v>
      </c>
      <c r="I116" s="3" t="s">
        <v>7</v>
      </c>
      <c r="K116" s="8" t="s">
        <v>41</v>
      </c>
    </row>
    <row r="117" spans="1:11" x14ac:dyDescent="0.25">
      <c r="A117" s="20">
        <v>41202</v>
      </c>
      <c r="B117" s="1">
        <v>0.63680555555555551</v>
      </c>
      <c r="C117" s="1">
        <v>0.79861111111111116</v>
      </c>
      <c r="D117" s="4">
        <v>9.0277777777777787E-3</v>
      </c>
      <c r="E117" s="21">
        <f t="shared" si="4"/>
        <v>0.1611111111111112</v>
      </c>
      <c r="I117" s="3" t="s">
        <v>7</v>
      </c>
      <c r="K117" s="8" t="s">
        <v>41</v>
      </c>
    </row>
    <row r="118" spans="1:11" x14ac:dyDescent="0.25">
      <c r="A118" s="20">
        <v>41202</v>
      </c>
      <c r="B118" s="1">
        <v>0.85972222222222217</v>
      </c>
      <c r="C118" s="1">
        <v>0.89444444444444438</v>
      </c>
      <c r="D118" s="4">
        <v>7.6388888888888886E-3</v>
      </c>
      <c r="E118" s="21">
        <f t="shared" si="4"/>
        <v>3.472222222222221E-2</v>
      </c>
      <c r="I118" s="3" t="s">
        <v>7</v>
      </c>
      <c r="K118" s="8" t="s">
        <v>41</v>
      </c>
    </row>
    <row r="119" spans="1:11" x14ac:dyDescent="0.25">
      <c r="A119" s="20">
        <v>41202</v>
      </c>
      <c r="B119" s="1">
        <v>0.90972222222222221</v>
      </c>
      <c r="C119" s="1">
        <v>0.96250000000000002</v>
      </c>
      <c r="E119" s="21">
        <f t="shared" si="4"/>
        <v>5.2777777777777812E-2</v>
      </c>
      <c r="I119" s="3" t="s">
        <v>7</v>
      </c>
      <c r="K119" s="8" t="s">
        <v>41</v>
      </c>
    </row>
    <row r="120" spans="1:11" x14ac:dyDescent="0.25">
      <c r="E120" s="21">
        <f t="shared" si="4"/>
        <v>0</v>
      </c>
    </row>
    <row r="121" spans="1:11" x14ac:dyDescent="0.25">
      <c r="A121" s="20">
        <v>41203</v>
      </c>
      <c r="B121" s="1">
        <v>0.80833333333333324</v>
      </c>
      <c r="C121" s="1">
        <v>0.85833333333333339</v>
      </c>
      <c r="E121" s="21">
        <f t="shared" si="4"/>
        <v>5.0000000000000155E-2</v>
      </c>
      <c r="F121" s="25">
        <f>SUM(E121:E138)</f>
        <v>0.4402777777777776</v>
      </c>
      <c r="I121" s="3" t="s">
        <v>7</v>
      </c>
      <c r="K121" s="8" t="s">
        <v>42</v>
      </c>
    </row>
    <row r="122" spans="1:11" x14ac:dyDescent="0.25">
      <c r="A122" s="20">
        <v>41203</v>
      </c>
      <c r="B122" s="1">
        <v>0.8666666666666667</v>
      </c>
      <c r="C122" s="1">
        <v>0.87986111111111109</v>
      </c>
      <c r="E122" s="21">
        <f t="shared" si="4"/>
        <v>1.3194444444444398E-2</v>
      </c>
      <c r="I122" s="3" t="s">
        <v>7</v>
      </c>
      <c r="K122" s="8" t="s">
        <v>42</v>
      </c>
    </row>
    <row r="123" spans="1:11" x14ac:dyDescent="0.25">
      <c r="E123" s="21">
        <f t="shared" si="4"/>
        <v>0</v>
      </c>
    </row>
    <row r="124" spans="1:11" x14ac:dyDescent="0.25">
      <c r="A124" s="20">
        <v>41204</v>
      </c>
      <c r="B124" s="1">
        <v>0.8340277777777777</v>
      </c>
      <c r="C124" s="1">
        <v>0.85763888888888884</v>
      </c>
      <c r="E124" s="21">
        <f t="shared" si="4"/>
        <v>2.3611111111111138E-2</v>
      </c>
      <c r="I124" s="3" t="s">
        <v>7</v>
      </c>
      <c r="K124" s="2" t="s">
        <v>43</v>
      </c>
    </row>
    <row r="125" spans="1:11" x14ac:dyDescent="0.25">
      <c r="A125" s="20">
        <v>41204</v>
      </c>
      <c r="B125" s="1">
        <v>0.87638888888888899</v>
      </c>
      <c r="C125" s="1">
        <v>0.89027777777777783</v>
      </c>
      <c r="E125" s="21">
        <f t="shared" si="4"/>
        <v>1.388888888888884E-2</v>
      </c>
      <c r="I125" s="3" t="s">
        <v>7</v>
      </c>
      <c r="K125" s="2" t="s">
        <v>43</v>
      </c>
    </row>
    <row r="126" spans="1:11" x14ac:dyDescent="0.25">
      <c r="A126" s="20">
        <v>41204</v>
      </c>
      <c r="B126" s="1">
        <f>C125</f>
        <v>0.89027777777777783</v>
      </c>
      <c r="C126" s="1">
        <v>0.90972222222222221</v>
      </c>
      <c r="E126" s="21">
        <f t="shared" si="4"/>
        <v>1.9444444444444375E-2</v>
      </c>
      <c r="I126" s="3" t="s">
        <v>7</v>
      </c>
      <c r="K126" s="2" t="s">
        <v>44</v>
      </c>
    </row>
    <row r="127" spans="1:11" x14ac:dyDescent="0.25">
      <c r="A127" s="20">
        <v>41204</v>
      </c>
      <c r="B127" s="1">
        <f>C126</f>
        <v>0.90972222222222221</v>
      </c>
      <c r="C127" s="1">
        <v>0.92569444444444438</v>
      </c>
      <c r="E127" s="21">
        <f t="shared" si="4"/>
        <v>1.5972222222222165E-2</v>
      </c>
      <c r="I127" s="3" t="s">
        <v>7</v>
      </c>
      <c r="K127" s="2" t="s">
        <v>45</v>
      </c>
    </row>
    <row r="128" spans="1:11" x14ac:dyDescent="0.25">
      <c r="E128" s="21">
        <f t="shared" si="4"/>
        <v>0</v>
      </c>
    </row>
    <row r="129" spans="1:11" x14ac:dyDescent="0.25">
      <c r="A129" s="20">
        <v>41205</v>
      </c>
      <c r="B129" s="1">
        <v>0.83333333333333337</v>
      </c>
      <c r="C129" s="1">
        <v>0.84930555555555554</v>
      </c>
      <c r="E129" s="21">
        <f t="shared" si="4"/>
        <v>1.5972222222222165E-2</v>
      </c>
      <c r="I129" s="3" t="s">
        <v>7</v>
      </c>
      <c r="K129" s="2" t="s">
        <v>46</v>
      </c>
    </row>
    <row r="130" spans="1:11" x14ac:dyDescent="0.25">
      <c r="A130" s="20">
        <v>41205</v>
      </c>
      <c r="B130" s="1">
        <v>0.91666666666666663</v>
      </c>
      <c r="C130" s="1">
        <v>0.98749999999999993</v>
      </c>
      <c r="E130" s="21">
        <f t="shared" si="4"/>
        <v>7.0833333333333304E-2</v>
      </c>
      <c r="I130" s="3" t="s">
        <v>7</v>
      </c>
      <c r="K130" s="2" t="s">
        <v>47</v>
      </c>
    </row>
    <row r="131" spans="1:11" x14ac:dyDescent="0.25">
      <c r="E131" s="21">
        <f t="shared" si="4"/>
        <v>0</v>
      </c>
    </row>
    <row r="132" spans="1:11" x14ac:dyDescent="0.25">
      <c r="A132" s="20">
        <v>41206</v>
      </c>
      <c r="B132" s="1">
        <v>0.96736111111111101</v>
      </c>
      <c r="C132" s="1">
        <v>0.99930555555555556</v>
      </c>
      <c r="E132" s="21">
        <f t="shared" si="4"/>
        <v>3.1944444444444553E-2</v>
      </c>
      <c r="I132" s="3" t="s">
        <v>7</v>
      </c>
    </row>
    <row r="133" spans="1:11" x14ac:dyDescent="0.25">
      <c r="A133" s="20">
        <v>41207</v>
      </c>
      <c r="B133" s="1">
        <v>0</v>
      </c>
      <c r="C133" s="1">
        <v>2.2222222222222223E-2</v>
      </c>
      <c r="E133" s="21">
        <f t="shared" si="4"/>
        <v>2.2222222222222223E-2</v>
      </c>
      <c r="I133" s="3" t="s">
        <v>7</v>
      </c>
    </row>
    <row r="134" spans="1:11" x14ac:dyDescent="0.25">
      <c r="E134" s="21">
        <f t="shared" si="4"/>
        <v>0</v>
      </c>
    </row>
    <row r="135" spans="1:11" x14ac:dyDescent="0.25">
      <c r="A135" s="20">
        <v>41207</v>
      </c>
      <c r="B135" s="1">
        <v>0.87152777777777779</v>
      </c>
      <c r="C135" s="1">
        <v>0.9145833333333333</v>
      </c>
      <c r="E135" s="21">
        <f t="shared" si="4"/>
        <v>4.3055555555555514E-2</v>
      </c>
      <c r="I135" s="3" t="s">
        <v>7</v>
      </c>
    </row>
    <row r="136" spans="1:11" x14ac:dyDescent="0.25">
      <c r="E136" s="21">
        <f t="shared" si="4"/>
        <v>0</v>
      </c>
    </row>
    <row r="137" spans="1:11" x14ac:dyDescent="0.25">
      <c r="A137" s="20">
        <v>41208</v>
      </c>
      <c r="B137" s="1">
        <v>0.60763888888888895</v>
      </c>
      <c r="C137" s="1">
        <v>0.67013888888888884</v>
      </c>
      <c r="E137" s="21">
        <f t="shared" ref="E137:E164" si="5">IF(D137&lt;(12/1440),C137-B137,C137-B137-D137+(12/1440))</f>
        <v>6.2499999999999889E-2</v>
      </c>
      <c r="I137" s="3" t="s">
        <v>7</v>
      </c>
      <c r="K137" s="2" t="s">
        <v>48</v>
      </c>
    </row>
    <row r="138" spans="1:11" x14ac:dyDescent="0.25">
      <c r="A138" s="20">
        <v>41208</v>
      </c>
      <c r="B138" s="1">
        <f>C137</f>
        <v>0.67013888888888884</v>
      </c>
      <c r="C138" s="1">
        <v>0.72777777777777775</v>
      </c>
      <c r="E138" s="21">
        <f t="shared" si="5"/>
        <v>5.7638888888888906E-2</v>
      </c>
      <c r="I138" s="3" t="s">
        <v>7</v>
      </c>
      <c r="K138" s="2" t="s">
        <v>49</v>
      </c>
    </row>
    <row r="139" spans="1:11" x14ac:dyDescent="0.25">
      <c r="E139" s="21">
        <f t="shared" si="5"/>
        <v>0</v>
      </c>
    </row>
    <row r="140" spans="1:11" x14ac:dyDescent="0.25">
      <c r="A140" s="20">
        <v>41211</v>
      </c>
      <c r="B140" s="1">
        <v>0.42291666666666666</v>
      </c>
      <c r="C140" s="1">
        <v>0.4777777777777778</v>
      </c>
      <c r="D140" s="4">
        <v>1.2499999999999999E-2</v>
      </c>
      <c r="E140" s="21">
        <f t="shared" si="5"/>
        <v>5.0694444444444473E-2</v>
      </c>
      <c r="F140" s="25">
        <f>SUM(E140:E152)</f>
        <v>0.45902777777777781</v>
      </c>
      <c r="I140" s="3" t="s">
        <v>7</v>
      </c>
      <c r="K140" s="2" t="s">
        <v>50</v>
      </c>
    </row>
    <row r="141" spans="1:11" x14ac:dyDescent="0.25">
      <c r="A141" s="20">
        <v>41211</v>
      </c>
      <c r="B141" s="1">
        <v>0.48333333333333334</v>
      </c>
      <c r="C141" s="1">
        <v>0.54861111111111105</v>
      </c>
      <c r="E141" s="21">
        <f t="shared" si="5"/>
        <v>6.5277777777777712E-2</v>
      </c>
      <c r="I141" s="3" t="s">
        <v>7</v>
      </c>
      <c r="K141" s="2" t="s">
        <v>51</v>
      </c>
    </row>
    <row r="142" spans="1:11" x14ac:dyDescent="0.25">
      <c r="A142" s="20">
        <v>41211</v>
      </c>
      <c r="B142" s="1">
        <v>0.65138888888888891</v>
      </c>
      <c r="C142" s="1">
        <v>0.73472222222222217</v>
      </c>
      <c r="D142" s="4">
        <v>1.8055555555555557E-2</v>
      </c>
      <c r="E142" s="21">
        <f t="shared" si="5"/>
        <v>7.361111111111103E-2</v>
      </c>
      <c r="I142" s="3" t="s">
        <v>7</v>
      </c>
    </row>
    <row r="143" spans="1:11" x14ac:dyDescent="0.25">
      <c r="A143" s="20">
        <v>41211</v>
      </c>
      <c r="B143" s="1">
        <v>0.75902777777777775</v>
      </c>
      <c r="C143" s="1">
        <v>0.80555555555555547</v>
      </c>
      <c r="D143" s="4">
        <v>1.5277777777777777E-2</v>
      </c>
      <c r="E143" s="21">
        <f t="shared" si="5"/>
        <v>3.9583333333333276E-2</v>
      </c>
      <c r="I143" s="3" t="s">
        <v>7</v>
      </c>
    </row>
    <row r="144" spans="1:11" x14ac:dyDescent="0.25">
      <c r="A144" s="20">
        <v>41211</v>
      </c>
      <c r="B144" s="1">
        <v>0.83611111111111114</v>
      </c>
      <c r="C144" s="1">
        <v>0.87430555555555556</v>
      </c>
      <c r="E144" s="21">
        <f t="shared" si="5"/>
        <v>3.819444444444442E-2</v>
      </c>
      <c r="I144" s="3" t="s">
        <v>7</v>
      </c>
    </row>
    <row r="145" spans="1:12" x14ac:dyDescent="0.25">
      <c r="E145" s="21">
        <f t="shared" si="5"/>
        <v>0</v>
      </c>
    </row>
    <row r="146" spans="1:12" x14ac:dyDescent="0.25">
      <c r="A146" s="20">
        <v>41212</v>
      </c>
      <c r="B146" s="1">
        <v>0.43055555555555558</v>
      </c>
      <c r="C146" s="1">
        <v>0.52083333333333337</v>
      </c>
      <c r="E146" s="21">
        <f t="shared" si="5"/>
        <v>9.027777777777779E-2</v>
      </c>
      <c r="I146" s="3" t="s">
        <v>7</v>
      </c>
    </row>
    <row r="147" spans="1:12" x14ac:dyDescent="0.25">
      <c r="A147" s="20">
        <v>41212</v>
      </c>
      <c r="B147" s="1">
        <v>0.61111111111111105</v>
      </c>
      <c r="C147" s="1">
        <v>0.64444444444444449</v>
      </c>
      <c r="E147" s="21">
        <f t="shared" si="5"/>
        <v>3.3333333333333437E-2</v>
      </c>
      <c r="I147" s="3" t="s">
        <v>7</v>
      </c>
      <c r="K147" s="2" t="s">
        <v>52</v>
      </c>
    </row>
    <row r="148" spans="1:12" x14ac:dyDescent="0.25">
      <c r="E148" s="21">
        <f t="shared" si="5"/>
        <v>0</v>
      </c>
    </row>
    <row r="149" spans="1:12" x14ac:dyDescent="0.25">
      <c r="A149" s="20">
        <v>41213</v>
      </c>
      <c r="B149" s="1">
        <v>0.9506944444444444</v>
      </c>
      <c r="C149" s="1">
        <v>0.97638888888888886</v>
      </c>
      <c r="E149" s="21">
        <f t="shared" si="5"/>
        <v>2.5694444444444464E-2</v>
      </c>
      <c r="I149" s="3" t="s">
        <v>7</v>
      </c>
      <c r="K149" s="2" t="s">
        <v>52</v>
      </c>
    </row>
    <row r="150" spans="1:12" x14ac:dyDescent="0.25">
      <c r="E150" s="21">
        <f t="shared" si="5"/>
        <v>0</v>
      </c>
    </row>
    <row r="151" spans="1:12" x14ac:dyDescent="0.25">
      <c r="A151" s="20">
        <v>41214</v>
      </c>
      <c r="B151" s="1">
        <v>0.80902777777777779</v>
      </c>
      <c r="C151" s="1">
        <v>0.83611111111111114</v>
      </c>
      <c r="E151" s="21">
        <f t="shared" si="5"/>
        <v>2.7083333333333348E-2</v>
      </c>
      <c r="I151" s="3" t="s">
        <v>7</v>
      </c>
      <c r="K151" s="2" t="s">
        <v>52</v>
      </c>
    </row>
    <row r="152" spans="1:12" x14ac:dyDescent="0.25">
      <c r="A152" s="20">
        <v>41214</v>
      </c>
      <c r="B152" s="1">
        <v>0.88055555555555554</v>
      </c>
      <c r="C152" s="1">
        <v>0.89583333333333337</v>
      </c>
      <c r="E152" s="21">
        <f t="shared" si="5"/>
        <v>1.5277777777777835E-2</v>
      </c>
      <c r="I152" s="3" t="s">
        <v>7</v>
      </c>
      <c r="K152" s="2" t="s">
        <v>52</v>
      </c>
    </row>
    <row r="153" spans="1:12" x14ac:dyDescent="0.25">
      <c r="E153" s="21">
        <f t="shared" si="5"/>
        <v>0</v>
      </c>
    </row>
    <row r="154" spans="1:12" x14ac:dyDescent="0.25">
      <c r="A154" s="20">
        <v>41217</v>
      </c>
      <c r="B154" s="1">
        <v>0.8125</v>
      </c>
      <c r="C154" s="1">
        <v>0.83333333333333337</v>
      </c>
      <c r="E154" s="21">
        <f t="shared" si="5"/>
        <v>2.083333333333337E-2</v>
      </c>
      <c r="F154" s="25">
        <f>SUM(E154:E1053)</f>
        <v>33.726388888888899</v>
      </c>
      <c r="I154" s="3" t="s">
        <v>7</v>
      </c>
      <c r="K154" s="2" t="s">
        <v>52</v>
      </c>
    </row>
    <row r="155" spans="1:12" x14ac:dyDescent="0.25">
      <c r="E155" s="21">
        <f t="shared" si="5"/>
        <v>0</v>
      </c>
    </row>
    <row r="156" spans="1:12" x14ac:dyDescent="0.25">
      <c r="A156" s="20">
        <v>41218</v>
      </c>
      <c r="B156" s="1">
        <v>0.85069444444444453</v>
      </c>
      <c r="C156" s="1">
        <v>0.91666666666666663</v>
      </c>
      <c r="E156" s="21">
        <f t="shared" si="5"/>
        <v>6.5972222222222099E-2</v>
      </c>
      <c r="I156" s="3" t="s">
        <v>7</v>
      </c>
      <c r="K156" s="2" t="s">
        <v>52</v>
      </c>
    </row>
    <row r="157" spans="1:12" x14ac:dyDescent="0.25">
      <c r="E157" s="21">
        <f t="shared" si="5"/>
        <v>0</v>
      </c>
    </row>
    <row r="158" spans="1:12" x14ac:dyDescent="0.25">
      <c r="A158" s="20">
        <v>41222</v>
      </c>
      <c r="B158" s="1">
        <v>0.88541666666666663</v>
      </c>
      <c r="C158" s="1">
        <v>0.90694444444444444</v>
      </c>
      <c r="E158" s="21">
        <f t="shared" si="5"/>
        <v>2.1527777777777812E-2</v>
      </c>
      <c r="I158" s="3" t="s">
        <v>7</v>
      </c>
      <c r="L158" s="22">
        <f>MOD(A158,7)</f>
        <v>6</v>
      </c>
    </row>
    <row r="159" spans="1:12" x14ac:dyDescent="0.25">
      <c r="E159" s="21">
        <f t="shared" si="5"/>
        <v>0</v>
      </c>
    </row>
    <row r="160" spans="1:12" x14ac:dyDescent="0.25">
      <c r="A160" s="20">
        <v>41224</v>
      </c>
      <c r="E160" s="21">
        <f t="shared" si="5"/>
        <v>0</v>
      </c>
      <c r="F160" s="25">
        <f>SUM(E160:E161)</f>
        <v>0</v>
      </c>
      <c r="L160" s="22">
        <f>MOD(A160,7)</f>
        <v>1</v>
      </c>
    </row>
    <row r="161" spans="1:11" x14ac:dyDescent="0.25">
      <c r="E161" s="21">
        <f t="shared" si="5"/>
        <v>0</v>
      </c>
    </row>
    <row r="162" spans="1:11" x14ac:dyDescent="0.25">
      <c r="A162" s="20">
        <v>41237</v>
      </c>
      <c r="B162" s="1">
        <v>0.49444444444444446</v>
      </c>
      <c r="C162" s="1">
        <v>0.56180555555555556</v>
      </c>
      <c r="E162" s="21">
        <f t="shared" si="5"/>
        <v>6.7361111111111094E-2</v>
      </c>
      <c r="F162" s="25">
        <f>SUM(E162:E164)</f>
        <v>0.10486111111111107</v>
      </c>
      <c r="I162" s="3" t="s">
        <v>7</v>
      </c>
      <c r="K162" s="2" t="s">
        <v>52</v>
      </c>
    </row>
    <row r="163" spans="1:11" x14ac:dyDescent="0.25">
      <c r="A163" s="20">
        <v>41237</v>
      </c>
      <c r="B163" s="1">
        <v>0.59444444444444444</v>
      </c>
      <c r="C163" s="1">
        <v>0.63194444444444442</v>
      </c>
      <c r="E163" s="21">
        <f t="shared" si="5"/>
        <v>3.7499999999999978E-2</v>
      </c>
      <c r="I163" s="3" t="s">
        <v>7</v>
      </c>
      <c r="K163" s="2" t="s">
        <v>52</v>
      </c>
    </row>
    <row r="164" spans="1:11" x14ac:dyDescent="0.25">
      <c r="E164" s="21">
        <f t="shared" si="5"/>
        <v>0</v>
      </c>
    </row>
    <row r="165" spans="1:11" x14ac:dyDescent="0.25">
      <c r="A165" s="20">
        <v>41238</v>
      </c>
      <c r="B165" s="1">
        <v>0.73125000000000007</v>
      </c>
      <c r="C165" s="1">
        <v>0.74930555555555556</v>
      </c>
      <c r="E165" s="21">
        <f t="shared" ref="E165:E187" si="6">IF(D165&lt;(12/1440),C165-B165,C165-B165-D165+(12/1440))</f>
        <v>1.8055555555555491E-2</v>
      </c>
      <c r="F165" s="25">
        <f>SUM(E165:E173)</f>
        <v>0.26944444444444432</v>
      </c>
      <c r="I165" s="3" t="s">
        <v>7</v>
      </c>
    </row>
    <row r="166" spans="1:11" x14ac:dyDescent="0.25">
      <c r="A166" s="20">
        <v>41238</v>
      </c>
      <c r="B166" s="1">
        <v>0.77569444444444446</v>
      </c>
      <c r="C166" s="1">
        <v>0.82430555555555562</v>
      </c>
      <c r="E166" s="21">
        <f t="shared" si="6"/>
        <v>4.861111111111116E-2</v>
      </c>
      <c r="I166" s="3" t="s">
        <v>7</v>
      </c>
    </row>
    <row r="167" spans="1:11" x14ac:dyDescent="0.25">
      <c r="A167" s="20">
        <v>41238</v>
      </c>
      <c r="B167" s="1">
        <v>0.87708333333333333</v>
      </c>
      <c r="C167" s="1">
        <v>0.88958333333333339</v>
      </c>
      <c r="E167" s="21">
        <f t="shared" si="6"/>
        <v>1.2500000000000067E-2</v>
      </c>
      <c r="I167" s="3" t="s">
        <v>7</v>
      </c>
    </row>
    <row r="168" spans="1:11" x14ac:dyDescent="0.25">
      <c r="E168" s="21">
        <f t="shared" si="6"/>
        <v>0</v>
      </c>
    </row>
    <row r="169" spans="1:11" x14ac:dyDescent="0.25">
      <c r="A169" s="20">
        <v>41239</v>
      </c>
      <c r="B169" s="1">
        <v>0.82638888888888884</v>
      </c>
      <c r="C169" s="1">
        <v>0.90486111111111101</v>
      </c>
      <c r="D169" s="4">
        <v>1.3194444444444444E-2</v>
      </c>
      <c r="E169" s="21">
        <f t="shared" si="6"/>
        <v>7.3611111111111058E-2</v>
      </c>
      <c r="I169" s="3" t="s">
        <v>7</v>
      </c>
      <c r="K169" s="2" t="s">
        <v>52</v>
      </c>
    </row>
    <row r="170" spans="1:11" x14ac:dyDescent="0.25">
      <c r="E170" s="21">
        <f t="shared" si="6"/>
        <v>0</v>
      </c>
    </row>
    <row r="171" spans="1:11" x14ac:dyDescent="0.25">
      <c r="A171" s="20">
        <v>41241</v>
      </c>
      <c r="B171" s="1">
        <v>0.9243055555555556</v>
      </c>
      <c r="C171" s="1">
        <v>0.93819444444444444</v>
      </c>
      <c r="E171" s="21">
        <f t="shared" si="6"/>
        <v>1.388888888888884E-2</v>
      </c>
      <c r="I171" s="3" t="s">
        <v>7</v>
      </c>
      <c r="K171" s="2" t="s">
        <v>52</v>
      </c>
    </row>
    <row r="172" spans="1:11" x14ac:dyDescent="0.25">
      <c r="E172" s="21">
        <f t="shared" si="6"/>
        <v>0</v>
      </c>
    </row>
    <row r="173" spans="1:11" x14ac:dyDescent="0.25">
      <c r="A173" s="20">
        <v>41244</v>
      </c>
      <c r="B173" s="1">
        <v>0.59375</v>
      </c>
      <c r="C173" s="1">
        <v>0.7090277777777777</v>
      </c>
      <c r="D173" s="4">
        <v>2.0833333333333332E-2</v>
      </c>
      <c r="E173" s="21">
        <f t="shared" si="6"/>
        <v>0.1027777777777777</v>
      </c>
      <c r="I173" s="3" t="s">
        <v>7</v>
      </c>
      <c r="K173" s="2" t="s">
        <v>52</v>
      </c>
    </row>
    <row r="174" spans="1:11" x14ac:dyDescent="0.25">
      <c r="E174" s="21">
        <f t="shared" si="6"/>
        <v>0</v>
      </c>
    </row>
    <row r="175" spans="1:11" x14ac:dyDescent="0.25">
      <c r="A175" s="20">
        <v>41245</v>
      </c>
      <c r="B175" s="1">
        <v>0.88680555555555562</v>
      </c>
      <c r="C175" s="1">
        <v>0.92708333333333337</v>
      </c>
      <c r="E175" s="21">
        <f t="shared" si="6"/>
        <v>4.0277777777777746E-2</v>
      </c>
      <c r="F175" s="25">
        <f>SUM(E175:E182)</f>
        <v>0.20000000000000012</v>
      </c>
      <c r="I175" s="3" t="s">
        <v>7</v>
      </c>
      <c r="K175" s="2" t="s">
        <v>52</v>
      </c>
    </row>
    <row r="176" spans="1:11" x14ac:dyDescent="0.25">
      <c r="A176" s="20">
        <v>41245</v>
      </c>
      <c r="B176" s="1">
        <v>0.94861111111111107</v>
      </c>
      <c r="C176" s="1">
        <v>0.95763888888888893</v>
      </c>
      <c r="E176" s="21">
        <f t="shared" si="6"/>
        <v>9.0277777777778567E-3</v>
      </c>
      <c r="I176" s="3" t="s">
        <v>7</v>
      </c>
      <c r="K176" s="2" t="s">
        <v>52</v>
      </c>
    </row>
    <row r="177" spans="1:11" x14ac:dyDescent="0.25">
      <c r="E177" s="21">
        <f t="shared" si="6"/>
        <v>0</v>
      </c>
    </row>
    <row r="178" spans="1:11" x14ac:dyDescent="0.25">
      <c r="A178" s="20">
        <v>41246</v>
      </c>
      <c r="B178" s="1">
        <v>0.85277777777777775</v>
      </c>
      <c r="C178" s="1">
        <v>0.8965277777777777</v>
      </c>
      <c r="E178" s="21">
        <f t="shared" si="6"/>
        <v>4.3749999999999956E-2</v>
      </c>
      <c r="I178" s="3" t="s">
        <v>7</v>
      </c>
      <c r="K178" s="2" t="s">
        <v>53</v>
      </c>
    </row>
    <row r="179" spans="1:11" x14ac:dyDescent="0.25">
      <c r="E179" s="21">
        <f t="shared" si="6"/>
        <v>0</v>
      </c>
    </row>
    <row r="180" spans="1:11" x14ac:dyDescent="0.25">
      <c r="A180" s="20">
        <v>41247</v>
      </c>
      <c r="B180" s="1">
        <v>0.83611111111111114</v>
      </c>
      <c r="C180" s="1">
        <v>0.9375</v>
      </c>
      <c r="D180" s="4">
        <v>1.9444444444444445E-2</v>
      </c>
      <c r="E180" s="21">
        <f t="shared" si="6"/>
        <v>9.0277777777777748E-2</v>
      </c>
      <c r="I180" s="3" t="s">
        <v>7</v>
      </c>
      <c r="K180" s="2" t="s">
        <v>54</v>
      </c>
    </row>
    <row r="181" spans="1:11" x14ac:dyDescent="0.25">
      <c r="E181" s="21">
        <f t="shared" si="6"/>
        <v>0</v>
      </c>
    </row>
    <row r="182" spans="1:11" x14ac:dyDescent="0.25">
      <c r="A182" s="20">
        <v>41248</v>
      </c>
      <c r="B182" s="1">
        <v>0.79722222222222217</v>
      </c>
      <c r="C182" s="1">
        <v>0.81388888888888899</v>
      </c>
      <c r="E182" s="21">
        <f t="shared" si="6"/>
        <v>1.6666666666666829E-2</v>
      </c>
      <c r="I182" s="3" t="s">
        <v>65</v>
      </c>
      <c r="K182" s="2" t="s">
        <v>55</v>
      </c>
    </row>
    <row r="183" spans="1:11" x14ac:dyDescent="0.25">
      <c r="E183" s="21">
        <f t="shared" si="6"/>
        <v>0</v>
      </c>
    </row>
    <row r="184" spans="1:11" x14ac:dyDescent="0.25">
      <c r="A184" s="20">
        <v>41252</v>
      </c>
      <c r="B184" s="1">
        <v>0.82986111111111116</v>
      </c>
      <c r="C184" s="1">
        <v>0.90763888888888899</v>
      </c>
      <c r="E184" s="21">
        <f t="shared" si="6"/>
        <v>7.7777777777777835E-2</v>
      </c>
      <c r="F184" s="25">
        <f>SUM(E184:E190)</f>
        <v>0.15486111111111101</v>
      </c>
      <c r="I184" s="3" t="s">
        <v>13</v>
      </c>
      <c r="K184" s="2" t="s">
        <v>56</v>
      </c>
    </row>
    <row r="185" spans="1:11" x14ac:dyDescent="0.25">
      <c r="E185" s="21">
        <f t="shared" si="6"/>
        <v>0</v>
      </c>
    </row>
    <row r="186" spans="1:11" x14ac:dyDescent="0.25">
      <c r="A186" s="20">
        <v>41253</v>
      </c>
      <c r="B186" s="1">
        <v>0.84027777777777779</v>
      </c>
      <c r="C186" s="1">
        <v>0.86736111111111114</v>
      </c>
      <c r="E186" s="21">
        <f t="shared" si="6"/>
        <v>2.7083333333333348E-2</v>
      </c>
      <c r="I186" s="3" t="s">
        <v>13</v>
      </c>
      <c r="K186" s="2" t="s">
        <v>56</v>
      </c>
    </row>
    <row r="187" spans="1:11" x14ac:dyDescent="0.25">
      <c r="A187" s="20">
        <v>41253</v>
      </c>
      <c r="B187" s="1">
        <f>C186</f>
        <v>0.86736111111111114</v>
      </c>
      <c r="C187" s="1">
        <v>0.88124999999999998</v>
      </c>
      <c r="E187" s="21">
        <f t="shared" si="6"/>
        <v>1.388888888888884E-2</v>
      </c>
      <c r="I187" s="9" t="s">
        <v>13</v>
      </c>
      <c r="K187" s="8" t="s">
        <v>57</v>
      </c>
    </row>
    <row r="189" spans="1:11" x14ac:dyDescent="0.25">
      <c r="A189" s="20">
        <v>41254</v>
      </c>
      <c r="B189" s="1">
        <v>0.83472222222222225</v>
      </c>
      <c r="C189" s="1">
        <v>0.87083333333333324</v>
      </c>
      <c r="E189" s="21">
        <f t="shared" ref="E189:E209" si="7">IF(D189&lt;(12/1440),C189-B189,C189-B189-D189+(12/1440))</f>
        <v>3.6111111111110983E-2</v>
      </c>
      <c r="I189" s="3" t="s">
        <v>13</v>
      </c>
      <c r="K189" s="2" t="s">
        <v>56</v>
      </c>
    </row>
    <row r="190" spans="1:11" x14ac:dyDescent="0.25">
      <c r="E190" s="21">
        <f t="shared" si="7"/>
        <v>0</v>
      </c>
    </row>
    <row r="191" spans="1:11" x14ac:dyDescent="0.25">
      <c r="A191" s="20">
        <v>41259</v>
      </c>
      <c r="B191" s="1">
        <v>0.72499999999999998</v>
      </c>
      <c r="C191" s="1">
        <v>0.76041666666666663</v>
      </c>
      <c r="E191" s="21">
        <f t="shared" si="7"/>
        <v>3.5416666666666652E-2</v>
      </c>
      <c r="F191" s="25">
        <f>SUM(E191:E204)</f>
        <v>0.44861111111111135</v>
      </c>
      <c r="I191" s="3" t="s">
        <v>58</v>
      </c>
      <c r="K191" s="2" t="s">
        <v>59</v>
      </c>
    </row>
    <row r="192" spans="1:11" x14ac:dyDescent="0.25">
      <c r="A192" s="20">
        <v>41259</v>
      </c>
      <c r="B192" s="1">
        <v>0.88888888888888884</v>
      </c>
      <c r="C192" s="1">
        <v>0.91666666666666663</v>
      </c>
      <c r="E192" s="21">
        <f t="shared" si="7"/>
        <v>2.777777777777779E-2</v>
      </c>
      <c r="I192" s="3" t="s">
        <v>7</v>
      </c>
    </row>
    <row r="193" spans="1:11" x14ac:dyDescent="0.25">
      <c r="E193" s="21">
        <f t="shared" si="7"/>
        <v>0</v>
      </c>
    </row>
    <row r="194" spans="1:11" x14ac:dyDescent="0.25">
      <c r="A194" s="20">
        <v>41260</v>
      </c>
      <c r="B194" s="1">
        <v>0.82291666666666663</v>
      </c>
      <c r="C194" s="1">
        <v>0.89583333333333337</v>
      </c>
      <c r="E194" s="21">
        <f t="shared" si="7"/>
        <v>7.2916666666666741E-2</v>
      </c>
      <c r="I194" s="3" t="s">
        <v>60</v>
      </c>
      <c r="K194" s="2" t="s">
        <v>61</v>
      </c>
    </row>
    <row r="195" spans="1:11" x14ac:dyDescent="0.25">
      <c r="E195" s="21">
        <f t="shared" si="7"/>
        <v>0</v>
      </c>
    </row>
    <row r="196" spans="1:11" x14ac:dyDescent="0.25">
      <c r="A196" s="20">
        <v>41262</v>
      </c>
      <c r="B196" s="1">
        <v>0.35416666666666669</v>
      </c>
      <c r="C196" s="1">
        <v>0.36805555555555558</v>
      </c>
      <c r="E196" s="21">
        <f t="shared" si="7"/>
        <v>1.3888888888888895E-2</v>
      </c>
      <c r="I196" s="3" t="s">
        <v>65</v>
      </c>
      <c r="K196" s="2" t="s">
        <v>62</v>
      </c>
    </row>
    <row r="197" spans="1:11" x14ac:dyDescent="0.25">
      <c r="A197" s="20">
        <v>41262</v>
      </c>
      <c r="B197" s="1">
        <v>0.65625</v>
      </c>
      <c r="C197" s="1">
        <v>0.71527777777777779</v>
      </c>
      <c r="E197" s="21">
        <f t="shared" si="7"/>
        <v>5.902777777777779E-2</v>
      </c>
      <c r="I197" s="3" t="s">
        <v>69</v>
      </c>
      <c r="K197" s="2" t="s">
        <v>63</v>
      </c>
    </row>
    <row r="198" spans="1:11" x14ac:dyDescent="0.25">
      <c r="A198" s="20">
        <v>41262</v>
      </c>
      <c r="B198" s="1">
        <v>0.79861111111111116</v>
      </c>
      <c r="C198" s="1">
        <v>0.80486111111111114</v>
      </c>
      <c r="E198" s="21">
        <f t="shared" si="7"/>
        <v>6.2499999999999778E-3</v>
      </c>
      <c r="I198" s="3" t="s">
        <v>65</v>
      </c>
      <c r="K198" s="2" t="s">
        <v>55</v>
      </c>
    </row>
    <row r="199" spans="1:11" x14ac:dyDescent="0.25">
      <c r="A199" s="20">
        <v>41262</v>
      </c>
      <c r="B199" s="1">
        <v>0.87152777777777779</v>
      </c>
      <c r="C199" s="1">
        <v>0.95833333333333337</v>
      </c>
      <c r="E199" s="21">
        <f t="shared" si="7"/>
        <v>8.680555555555558E-2</v>
      </c>
      <c r="I199" s="3" t="s">
        <v>6</v>
      </c>
      <c r="K199" s="2" t="s">
        <v>64</v>
      </c>
    </row>
    <row r="200" spans="1:11" x14ac:dyDescent="0.25">
      <c r="E200" s="21">
        <f t="shared" si="7"/>
        <v>0</v>
      </c>
    </row>
    <row r="201" spans="1:11" x14ac:dyDescent="0.25">
      <c r="A201" s="20">
        <v>41263</v>
      </c>
      <c r="B201" s="1">
        <v>0.35069444444444442</v>
      </c>
      <c r="C201" s="1">
        <v>0.4375</v>
      </c>
      <c r="E201" s="21">
        <f t="shared" si="7"/>
        <v>8.680555555555558E-2</v>
      </c>
      <c r="I201" s="3" t="s">
        <v>69</v>
      </c>
      <c r="K201" s="2" t="s">
        <v>66</v>
      </c>
    </row>
    <row r="202" spans="1:11" x14ac:dyDescent="0.25">
      <c r="A202" s="20">
        <v>41263</v>
      </c>
      <c r="B202" s="1">
        <v>0.52430555555555558</v>
      </c>
      <c r="C202" s="1">
        <v>0.54513888888888895</v>
      </c>
      <c r="E202" s="21">
        <f t="shared" si="7"/>
        <v>2.083333333333337E-2</v>
      </c>
      <c r="I202" s="3" t="s">
        <v>60</v>
      </c>
      <c r="K202" s="2" t="s">
        <v>67</v>
      </c>
    </row>
    <row r="203" spans="1:11" x14ac:dyDescent="0.25">
      <c r="A203" s="20">
        <v>41263</v>
      </c>
      <c r="B203" s="1">
        <v>0.86111111111111116</v>
      </c>
      <c r="C203" s="1">
        <v>0.87916666666666676</v>
      </c>
      <c r="E203" s="21">
        <f t="shared" si="7"/>
        <v>1.8055555555555602E-2</v>
      </c>
      <c r="I203" s="3" t="s">
        <v>65</v>
      </c>
      <c r="K203" s="2" t="s">
        <v>68</v>
      </c>
    </row>
    <row r="204" spans="1:11" x14ac:dyDescent="0.25">
      <c r="A204" s="20">
        <v>41263</v>
      </c>
      <c r="B204" s="1">
        <v>0.91666666666666663</v>
      </c>
      <c r="C204" s="1">
        <v>0.9375</v>
      </c>
      <c r="E204" s="21">
        <f t="shared" si="7"/>
        <v>2.083333333333337E-2</v>
      </c>
      <c r="I204" s="3" t="s">
        <v>69</v>
      </c>
      <c r="K204" s="2" t="s">
        <v>70</v>
      </c>
    </row>
    <row r="205" spans="1:11" x14ac:dyDescent="0.25">
      <c r="E205" s="21">
        <f t="shared" si="7"/>
        <v>0</v>
      </c>
    </row>
    <row r="206" spans="1:11" x14ac:dyDescent="0.25">
      <c r="A206" s="20">
        <v>41268</v>
      </c>
      <c r="B206" s="1">
        <v>0.79166666666666663</v>
      </c>
      <c r="C206" s="1">
        <v>0.875</v>
      </c>
      <c r="E206" s="21">
        <f t="shared" si="7"/>
        <v>8.333333333333337E-2</v>
      </c>
      <c r="F206" s="25">
        <f>SUM(E206:E219)</f>
        <v>0.38472222222222213</v>
      </c>
      <c r="I206" s="3" t="s">
        <v>65</v>
      </c>
      <c r="K206" s="2" t="s">
        <v>71</v>
      </c>
    </row>
    <row r="207" spans="1:11" x14ac:dyDescent="0.25">
      <c r="E207" s="21">
        <f t="shared" si="7"/>
        <v>0</v>
      </c>
    </row>
    <row r="208" spans="1:11" x14ac:dyDescent="0.25">
      <c r="A208" s="20">
        <v>41269</v>
      </c>
      <c r="B208" s="1">
        <v>0.52083333333333337</v>
      </c>
      <c r="C208" s="1">
        <v>0.60416666666666663</v>
      </c>
      <c r="E208" s="21">
        <f t="shared" si="7"/>
        <v>8.3333333333333259E-2</v>
      </c>
      <c r="I208" s="3" t="s">
        <v>65</v>
      </c>
      <c r="K208" s="2" t="s">
        <v>71</v>
      </c>
    </row>
    <row r="209" spans="1:11" x14ac:dyDescent="0.25">
      <c r="E209" s="21">
        <f t="shared" si="7"/>
        <v>0</v>
      </c>
    </row>
    <row r="210" spans="1:11" x14ac:dyDescent="0.25">
      <c r="A210" s="20">
        <v>41272</v>
      </c>
      <c r="B210" s="1">
        <v>0.45833333333333331</v>
      </c>
      <c r="C210" s="1">
        <v>0.53055555555555556</v>
      </c>
      <c r="E210" s="21">
        <f t="shared" ref="E210:E460" si="8">IF(D210&lt;(12/1440),C210-B210,C210-B210-D210+(12/1440))</f>
        <v>7.2222222222222243E-2</v>
      </c>
      <c r="I210" s="3" t="s">
        <v>7</v>
      </c>
      <c r="K210" s="2" t="s">
        <v>72</v>
      </c>
    </row>
    <row r="211" spans="1:11" x14ac:dyDescent="0.25">
      <c r="A211" s="20">
        <v>41272</v>
      </c>
      <c r="B211" s="1">
        <v>0.55277777777777781</v>
      </c>
      <c r="C211" s="1">
        <v>0.57638888888888895</v>
      </c>
      <c r="E211" s="21">
        <f t="shared" si="8"/>
        <v>2.3611111111111138E-2</v>
      </c>
      <c r="I211" s="3" t="s">
        <v>7</v>
      </c>
    </row>
    <row r="212" spans="1:11" x14ac:dyDescent="0.25">
      <c r="E212" s="21">
        <f t="shared" si="8"/>
        <v>0</v>
      </c>
    </row>
    <row r="213" spans="1:11" x14ac:dyDescent="0.25">
      <c r="A213" s="20">
        <v>41276</v>
      </c>
      <c r="B213" s="1">
        <v>0.79166666666666663</v>
      </c>
      <c r="C213" s="1">
        <v>0.8125</v>
      </c>
      <c r="E213" s="21">
        <f t="shared" si="8"/>
        <v>2.083333333333337E-2</v>
      </c>
      <c r="I213" s="3" t="s">
        <v>65</v>
      </c>
    </row>
    <row r="214" spans="1:11" x14ac:dyDescent="0.25">
      <c r="E214" s="21">
        <f t="shared" si="8"/>
        <v>0</v>
      </c>
    </row>
    <row r="215" spans="1:11" x14ac:dyDescent="0.25">
      <c r="A215" s="20">
        <v>41277</v>
      </c>
      <c r="B215" s="1">
        <v>0.94444444444444453</v>
      </c>
      <c r="C215" s="1">
        <v>0.95833333333333337</v>
      </c>
      <c r="E215" s="21">
        <f t="shared" si="8"/>
        <v>1.388888888888884E-2</v>
      </c>
      <c r="I215" s="3" t="s">
        <v>6</v>
      </c>
    </row>
    <row r="216" spans="1:11" x14ac:dyDescent="0.25">
      <c r="E216" s="21">
        <f t="shared" si="8"/>
        <v>0</v>
      </c>
    </row>
    <row r="217" spans="1:11" x14ac:dyDescent="0.25">
      <c r="A217" s="20">
        <v>41278</v>
      </c>
      <c r="B217" s="1">
        <v>0.50694444444444442</v>
      </c>
      <c r="C217" s="1">
        <v>0.54861111111111105</v>
      </c>
      <c r="E217" s="21">
        <f t="shared" si="8"/>
        <v>4.166666666666663E-2</v>
      </c>
      <c r="I217" s="3" t="s">
        <v>73</v>
      </c>
      <c r="K217" s="2" t="s">
        <v>74</v>
      </c>
    </row>
    <row r="218" spans="1:11" x14ac:dyDescent="0.25">
      <c r="E218" s="21">
        <f t="shared" si="8"/>
        <v>0</v>
      </c>
    </row>
    <row r="219" spans="1:11" x14ac:dyDescent="0.25">
      <c r="A219" s="20">
        <v>41279</v>
      </c>
      <c r="B219" s="1">
        <v>0.65555555555555556</v>
      </c>
      <c r="C219" s="1">
        <v>0.70138888888888884</v>
      </c>
      <c r="E219" s="21">
        <f t="shared" si="8"/>
        <v>4.5833333333333282E-2</v>
      </c>
      <c r="I219" s="3" t="s">
        <v>7</v>
      </c>
    </row>
    <row r="220" spans="1:11" x14ac:dyDescent="0.25">
      <c r="E220" s="21">
        <f t="shared" si="8"/>
        <v>0</v>
      </c>
    </row>
    <row r="221" spans="1:11" x14ac:dyDescent="0.25">
      <c r="A221" s="20">
        <v>41280</v>
      </c>
      <c r="B221" s="1">
        <v>0.79722222222222217</v>
      </c>
      <c r="C221" s="1">
        <v>0.80694444444444446</v>
      </c>
      <c r="E221" s="21">
        <f t="shared" si="8"/>
        <v>9.7222222222222987E-3</v>
      </c>
      <c r="F221" s="25">
        <f>SUM(E221:E232)</f>
        <v>0.45069444444444451</v>
      </c>
      <c r="I221" s="3" t="s">
        <v>6</v>
      </c>
    </row>
    <row r="222" spans="1:11" x14ac:dyDescent="0.25">
      <c r="A222" s="20">
        <v>41280</v>
      </c>
      <c r="B222" s="1">
        <v>0.82291666666666663</v>
      </c>
      <c r="C222" s="1">
        <v>0.83611111111111114</v>
      </c>
      <c r="E222" s="21">
        <f t="shared" si="8"/>
        <v>1.3194444444444509E-2</v>
      </c>
      <c r="I222" s="3" t="s">
        <v>7</v>
      </c>
    </row>
    <row r="223" spans="1:11" x14ac:dyDescent="0.25">
      <c r="E223" s="21">
        <f t="shared" si="8"/>
        <v>0</v>
      </c>
    </row>
    <row r="224" spans="1:11" x14ac:dyDescent="0.25">
      <c r="A224" s="20">
        <v>41281</v>
      </c>
      <c r="B224" s="1">
        <v>0.85555555555555562</v>
      </c>
      <c r="C224" s="1">
        <v>0.875</v>
      </c>
      <c r="E224" s="21">
        <f t="shared" si="8"/>
        <v>1.9444444444444375E-2</v>
      </c>
      <c r="I224" s="3" t="s">
        <v>7</v>
      </c>
    </row>
    <row r="225" spans="1:9" x14ac:dyDescent="0.25">
      <c r="E225" s="21">
        <f t="shared" si="8"/>
        <v>0</v>
      </c>
    </row>
    <row r="226" spans="1:9" x14ac:dyDescent="0.25">
      <c r="A226" s="20">
        <v>41284</v>
      </c>
      <c r="B226" s="1">
        <v>0.79236111111111107</v>
      </c>
      <c r="C226" s="1">
        <v>0.82916666666666661</v>
      </c>
      <c r="D226" s="4">
        <v>1.3888888888888889E-3</v>
      </c>
      <c r="E226" s="21">
        <f t="shared" si="8"/>
        <v>3.6805555555555536E-2</v>
      </c>
      <c r="I226" s="3" t="s">
        <v>7</v>
      </c>
    </row>
    <row r="227" spans="1:9" x14ac:dyDescent="0.25">
      <c r="A227" s="20">
        <v>41284</v>
      </c>
      <c r="B227" s="1">
        <v>0.88541666666666663</v>
      </c>
      <c r="C227" s="1">
        <v>0.89444444444444438</v>
      </c>
      <c r="E227" s="21">
        <f t="shared" si="8"/>
        <v>9.0277777777777457E-3</v>
      </c>
      <c r="I227" s="3" t="s">
        <v>7</v>
      </c>
    </row>
    <row r="228" spans="1:9" x14ac:dyDescent="0.25">
      <c r="E228" s="21">
        <f t="shared" si="8"/>
        <v>0</v>
      </c>
    </row>
    <row r="229" spans="1:9" x14ac:dyDescent="0.25">
      <c r="A229" s="20">
        <v>41285</v>
      </c>
      <c r="B229" s="1">
        <v>0.40972222222222227</v>
      </c>
      <c r="C229" s="1">
        <v>0.47500000000000003</v>
      </c>
      <c r="E229" s="21">
        <f t="shared" si="8"/>
        <v>6.5277777777777768E-2</v>
      </c>
      <c r="I229" s="3" t="s">
        <v>7</v>
      </c>
    </row>
    <row r="230" spans="1:9" x14ac:dyDescent="0.25">
      <c r="A230" s="20">
        <v>41285</v>
      </c>
      <c r="B230" s="1">
        <v>0.52638888888888891</v>
      </c>
      <c r="C230" s="1">
        <v>0.6972222222222223</v>
      </c>
      <c r="D230" s="4">
        <v>3.4722222222222224E-2</v>
      </c>
      <c r="E230" s="21">
        <f t="shared" si="8"/>
        <v>0.14444444444444451</v>
      </c>
      <c r="I230" s="3" t="s">
        <v>7</v>
      </c>
    </row>
    <row r="231" spans="1:9" x14ac:dyDescent="0.25">
      <c r="E231" s="21">
        <f t="shared" si="8"/>
        <v>0</v>
      </c>
    </row>
    <row r="232" spans="1:9" x14ac:dyDescent="0.25">
      <c r="A232" s="20">
        <v>41286</v>
      </c>
      <c r="B232" s="1">
        <v>0.59305555555555556</v>
      </c>
      <c r="C232" s="1">
        <v>0.75486111111111109</v>
      </c>
      <c r="D232" s="4">
        <v>1.7361111111111112E-2</v>
      </c>
      <c r="E232" s="21">
        <f t="shared" si="8"/>
        <v>0.15277777777777776</v>
      </c>
      <c r="I232" s="3" t="s">
        <v>7</v>
      </c>
    </row>
    <row r="233" spans="1:9" x14ac:dyDescent="0.25">
      <c r="E233" s="21">
        <f t="shared" si="8"/>
        <v>0</v>
      </c>
    </row>
    <row r="234" spans="1:9" x14ac:dyDescent="0.25">
      <c r="A234" s="20">
        <v>41287</v>
      </c>
      <c r="B234" s="1">
        <v>0.80625000000000002</v>
      </c>
      <c r="C234" s="1">
        <v>0.8534722222222223</v>
      </c>
      <c r="D234" s="4">
        <v>2.0833333333333332E-2</v>
      </c>
      <c r="E234" s="21">
        <f t="shared" si="8"/>
        <v>3.4722222222222279E-2</v>
      </c>
      <c r="F234" s="25">
        <f>SUM(E234:E252)</f>
        <v>0.74513888888888902</v>
      </c>
      <c r="I234" s="3" t="s">
        <v>7</v>
      </c>
    </row>
    <row r="235" spans="1:9" x14ac:dyDescent="0.25">
      <c r="A235" s="20">
        <v>41287</v>
      </c>
      <c r="B235" s="1">
        <v>0.89374999999999993</v>
      </c>
      <c r="C235" s="1">
        <v>0.91736111111111107</v>
      </c>
      <c r="E235" s="21">
        <f t="shared" si="8"/>
        <v>2.3611111111111138E-2</v>
      </c>
      <c r="I235" s="3" t="s">
        <v>7</v>
      </c>
    </row>
    <row r="236" spans="1:9" x14ac:dyDescent="0.25">
      <c r="E236" s="21">
        <f t="shared" si="8"/>
        <v>0</v>
      </c>
    </row>
    <row r="237" spans="1:9" x14ac:dyDescent="0.25">
      <c r="A237" s="20">
        <v>41288</v>
      </c>
      <c r="B237" s="1">
        <v>0.875</v>
      </c>
      <c r="C237" s="1">
        <v>0.91319444444444453</v>
      </c>
      <c r="E237" s="21">
        <f t="shared" si="8"/>
        <v>3.8194444444444531E-2</v>
      </c>
      <c r="I237" s="3" t="s">
        <v>7</v>
      </c>
    </row>
    <row r="238" spans="1:9" x14ac:dyDescent="0.25">
      <c r="E238" s="21">
        <f t="shared" si="8"/>
        <v>0</v>
      </c>
    </row>
    <row r="239" spans="1:9" x14ac:dyDescent="0.25">
      <c r="A239" s="20">
        <v>41289</v>
      </c>
      <c r="B239" s="1">
        <v>0.85416666666666663</v>
      </c>
      <c r="C239" s="1">
        <v>0.89583333333333337</v>
      </c>
      <c r="E239" s="21">
        <f t="shared" si="8"/>
        <v>4.1666666666666741E-2</v>
      </c>
      <c r="I239" s="3" t="s">
        <v>60</v>
      </c>
    </row>
    <row r="240" spans="1:9" x14ac:dyDescent="0.25">
      <c r="E240" s="21">
        <f t="shared" si="8"/>
        <v>0</v>
      </c>
    </row>
    <row r="241" spans="1:11" x14ac:dyDescent="0.25">
      <c r="A241" s="20">
        <v>41290</v>
      </c>
      <c r="B241" s="1">
        <v>0.89583333333333337</v>
      </c>
      <c r="C241" s="1">
        <v>0.94652777777777775</v>
      </c>
      <c r="E241" s="21">
        <f t="shared" si="8"/>
        <v>5.0694444444444375E-2</v>
      </c>
      <c r="I241" s="3" t="s">
        <v>69</v>
      </c>
    </row>
    <row r="242" spans="1:11" x14ac:dyDescent="0.25">
      <c r="E242" s="21">
        <f t="shared" si="8"/>
        <v>0</v>
      </c>
    </row>
    <row r="243" spans="1:11" x14ac:dyDescent="0.25">
      <c r="A243" s="20">
        <v>41291</v>
      </c>
      <c r="B243" s="1">
        <v>0.81597222222222221</v>
      </c>
      <c r="C243" s="1">
        <v>0.83888888888888891</v>
      </c>
      <c r="E243" s="21">
        <f t="shared" si="8"/>
        <v>2.2916666666666696E-2</v>
      </c>
      <c r="I243" s="3" t="s">
        <v>69</v>
      </c>
    </row>
    <row r="244" spans="1:11" x14ac:dyDescent="0.25">
      <c r="A244" s="20">
        <v>41291</v>
      </c>
      <c r="B244" s="1">
        <f>C243</f>
        <v>0.83888888888888891</v>
      </c>
      <c r="C244" s="1">
        <v>0.84513888888888899</v>
      </c>
      <c r="E244" s="21">
        <f t="shared" si="8"/>
        <v>6.2500000000000888E-3</v>
      </c>
      <c r="I244" s="3" t="s">
        <v>65</v>
      </c>
    </row>
    <row r="245" spans="1:11" x14ac:dyDescent="0.25">
      <c r="A245" s="20">
        <v>41291</v>
      </c>
      <c r="B245" s="1">
        <f>C244</f>
        <v>0.84513888888888899</v>
      </c>
      <c r="C245" s="1">
        <v>0.90277777777777779</v>
      </c>
      <c r="E245" s="21">
        <f t="shared" si="8"/>
        <v>5.7638888888888795E-2</v>
      </c>
      <c r="I245" s="3" t="s">
        <v>6</v>
      </c>
    </row>
    <row r="246" spans="1:11" x14ac:dyDescent="0.25">
      <c r="A246" s="20">
        <v>41291</v>
      </c>
      <c r="B246" s="1">
        <f>C245</f>
        <v>0.90277777777777779</v>
      </c>
      <c r="C246" s="1">
        <v>0.9375</v>
      </c>
      <c r="E246" s="21">
        <f t="shared" si="8"/>
        <v>3.472222222222221E-2</v>
      </c>
      <c r="I246" s="3" t="s">
        <v>75</v>
      </c>
    </row>
    <row r="247" spans="1:11" x14ac:dyDescent="0.25">
      <c r="E247" s="21">
        <f t="shared" si="8"/>
        <v>0</v>
      </c>
    </row>
    <row r="248" spans="1:11" x14ac:dyDescent="0.25">
      <c r="A248" s="20">
        <v>41292</v>
      </c>
      <c r="B248" s="1">
        <v>0.39583333333333331</v>
      </c>
      <c r="C248" s="1">
        <v>0.46319444444444446</v>
      </c>
      <c r="E248" s="21">
        <f t="shared" si="8"/>
        <v>6.7361111111111149E-2</v>
      </c>
      <c r="I248" s="3" t="s">
        <v>6</v>
      </c>
    </row>
    <row r="249" spans="1:11" x14ac:dyDescent="0.25">
      <c r="A249" s="20">
        <v>41292</v>
      </c>
      <c r="B249" s="1">
        <v>0.57986111111111105</v>
      </c>
      <c r="C249" s="1">
        <v>0.76041666666666663</v>
      </c>
      <c r="E249" s="21">
        <f t="shared" si="8"/>
        <v>0.18055555555555558</v>
      </c>
      <c r="I249" s="3" t="s">
        <v>6</v>
      </c>
    </row>
    <row r="250" spans="1:11" x14ac:dyDescent="0.25">
      <c r="E250" s="21">
        <f t="shared" si="8"/>
        <v>0</v>
      </c>
    </row>
    <row r="251" spans="1:11" x14ac:dyDescent="0.25">
      <c r="A251" s="20">
        <v>41293</v>
      </c>
      <c r="B251" s="1">
        <v>0.4375</v>
      </c>
      <c r="C251" s="1">
        <v>0.45833333333333331</v>
      </c>
      <c r="E251" s="21">
        <f t="shared" si="8"/>
        <v>2.0833333333333315E-2</v>
      </c>
      <c r="I251" s="3" t="s">
        <v>6</v>
      </c>
    </row>
    <row r="252" spans="1:11" x14ac:dyDescent="0.25">
      <c r="A252" s="20">
        <v>41293</v>
      </c>
      <c r="B252" s="1">
        <v>0.58750000000000002</v>
      </c>
      <c r="C252" s="1">
        <v>0.75347222222222221</v>
      </c>
      <c r="D252" s="4">
        <v>8.3333333333333332E-3</v>
      </c>
      <c r="E252" s="21">
        <f t="shared" si="8"/>
        <v>0.16597222222222219</v>
      </c>
      <c r="I252" s="3" t="s">
        <v>69</v>
      </c>
    </row>
    <row r="253" spans="1:11" x14ac:dyDescent="0.25">
      <c r="E253" s="21">
        <f t="shared" si="8"/>
        <v>0</v>
      </c>
    </row>
    <row r="254" spans="1:11" x14ac:dyDescent="0.25">
      <c r="A254" s="20">
        <v>41294</v>
      </c>
      <c r="B254" s="1">
        <v>0.80138888888888893</v>
      </c>
      <c r="C254" s="1">
        <v>0.80486111111111114</v>
      </c>
      <c r="E254" s="21">
        <f t="shared" si="8"/>
        <v>3.4722222222222099E-3</v>
      </c>
      <c r="F254" s="25">
        <f>SUM(E254:E278)</f>
        <v>0.75486111111111098</v>
      </c>
      <c r="I254" s="3" t="s">
        <v>6</v>
      </c>
    </row>
    <row r="255" spans="1:11" x14ac:dyDescent="0.25">
      <c r="A255" s="20">
        <v>41294</v>
      </c>
      <c r="B255" s="1">
        <v>0.86111111111111116</v>
      </c>
      <c r="C255" s="1">
        <v>0.87638888888888899</v>
      </c>
      <c r="E255" s="21">
        <f t="shared" si="8"/>
        <v>1.5277777777777835E-2</v>
      </c>
      <c r="I255" s="3" t="s">
        <v>7</v>
      </c>
    </row>
    <row r="256" spans="1:11" x14ac:dyDescent="0.25">
      <c r="A256" s="20">
        <v>41294</v>
      </c>
      <c r="B256" s="1">
        <f>C255</f>
        <v>0.87638888888888899</v>
      </c>
      <c r="C256" s="1">
        <v>0.89166666666666661</v>
      </c>
      <c r="E256" s="21">
        <f t="shared" si="8"/>
        <v>1.5277777777777612E-2</v>
      </c>
      <c r="I256" s="3" t="s">
        <v>6</v>
      </c>
      <c r="K256" s="2" t="s">
        <v>76</v>
      </c>
    </row>
    <row r="257" spans="1:11" x14ac:dyDescent="0.25">
      <c r="A257" s="20">
        <v>41294</v>
      </c>
      <c r="B257" s="1">
        <v>0.91319444444444453</v>
      </c>
      <c r="C257" s="1">
        <v>0.92083333333333339</v>
      </c>
      <c r="E257" s="21">
        <f t="shared" si="8"/>
        <v>7.6388888888888618E-3</v>
      </c>
      <c r="I257" s="3" t="s">
        <v>7</v>
      </c>
    </row>
    <row r="258" spans="1:11" x14ac:dyDescent="0.25">
      <c r="E258" s="21">
        <f t="shared" si="8"/>
        <v>0</v>
      </c>
    </row>
    <row r="259" spans="1:11" x14ac:dyDescent="0.25">
      <c r="A259" s="20">
        <v>41295</v>
      </c>
      <c r="B259" s="1">
        <v>0.50138888888888888</v>
      </c>
      <c r="C259" s="1">
        <v>0.54861111111111105</v>
      </c>
      <c r="E259" s="21">
        <f t="shared" si="8"/>
        <v>4.7222222222222165E-2</v>
      </c>
      <c r="I259" s="3" t="s">
        <v>75</v>
      </c>
    </row>
    <row r="260" spans="1:11" x14ac:dyDescent="0.25">
      <c r="A260" s="20">
        <v>41295</v>
      </c>
      <c r="B260" s="1">
        <v>0.85069444444444453</v>
      </c>
      <c r="C260" s="1">
        <v>0.88888888888888884</v>
      </c>
      <c r="E260" s="21">
        <f t="shared" si="8"/>
        <v>3.8194444444444309E-2</v>
      </c>
      <c r="I260" s="3" t="s">
        <v>7</v>
      </c>
    </row>
    <row r="261" spans="1:11" x14ac:dyDescent="0.25">
      <c r="E261" s="21">
        <f t="shared" si="8"/>
        <v>0</v>
      </c>
    </row>
    <row r="262" spans="1:11" x14ac:dyDescent="0.25">
      <c r="A262" s="20">
        <v>41296</v>
      </c>
      <c r="B262" s="1">
        <v>0.35555555555555557</v>
      </c>
      <c r="C262" s="1">
        <v>0.37847222222222227</v>
      </c>
      <c r="E262" s="21">
        <f t="shared" si="8"/>
        <v>2.2916666666666696E-2</v>
      </c>
      <c r="I262" s="3" t="s">
        <v>6</v>
      </c>
      <c r="K262" s="2" t="s">
        <v>77</v>
      </c>
    </row>
    <row r="263" spans="1:11" x14ac:dyDescent="0.25">
      <c r="A263" s="20">
        <v>41296</v>
      </c>
      <c r="B263" s="1">
        <v>0.83472222222222225</v>
      </c>
      <c r="C263" s="1">
        <v>0.84861111111111109</v>
      </c>
      <c r="E263" s="21">
        <f t="shared" si="8"/>
        <v>1.388888888888884E-2</v>
      </c>
      <c r="I263" s="3" t="s">
        <v>60</v>
      </c>
    </row>
    <row r="264" spans="1:11" x14ac:dyDescent="0.25">
      <c r="A264" s="20">
        <v>41296</v>
      </c>
      <c r="B264" s="1">
        <v>0.85763888888888884</v>
      </c>
      <c r="C264" s="1">
        <v>0.87152777777777779</v>
      </c>
      <c r="E264" s="21">
        <f t="shared" si="8"/>
        <v>1.3888888888888951E-2</v>
      </c>
      <c r="I264" s="3" t="s">
        <v>7</v>
      </c>
    </row>
    <row r="265" spans="1:11" x14ac:dyDescent="0.25">
      <c r="E265" s="21">
        <f t="shared" si="8"/>
        <v>0</v>
      </c>
    </row>
    <row r="266" spans="1:11" x14ac:dyDescent="0.25">
      <c r="A266" s="20">
        <v>41297</v>
      </c>
      <c r="B266" s="1">
        <v>0.87361111111111101</v>
      </c>
      <c r="C266" s="1">
        <v>0.89583333333333337</v>
      </c>
      <c r="E266" s="21">
        <f t="shared" si="8"/>
        <v>2.2222222222222365E-2</v>
      </c>
      <c r="I266" s="3" t="s">
        <v>7</v>
      </c>
    </row>
    <row r="267" spans="1:11" x14ac:dyDescent="0.25">
      <c r="E267" s="21">
        <f t="shared" si="8"/>
        <v>0</v>
      </c>
    </row>
    <row r="268" spans="1:11" x14ac:dyDescent="0.25">
      <c r="A268" s="20">
        <v>41299</v>
      </c>
      <c r="B268" s="1">
        <v>0.41666666666666669</v>
      </c>
      <c r="C268" s="1">
        <v>0.45833333333333331</v>
      </c>
      <c r="E268" s="21">
        <f t="shared" si="8"/>
        <v>4.166666666666663E-2</v>
      </c>
      <c r="I268" s="3" t="s">
        <v>78</v>
      </c>
      <c r="K268" s="2" t="s">
        <v>79</v>
      </c>
    </row>
    <row r="269" spans="1:11" x14ac:dyDescent="0.25">
      <c r="A269" s="20">
        <v>41299</v>
      </c>
      <c r="B269" s="1">
        <v>0.52083333333333337</v>
      </c>
      <c r="C269" s="1">
        <v>0.54236111111111118</v>
      </c>
      <c r="E269" s="21">
        <f t="shared" si="8"/>
        <v>2.1527777777777812E-2</v>
      </c>
      <c r="I269" s="3" t="s">
        <v>78</v>
      </c>
      <c r="K269" s="2" t="s">
        <v>79</v>
      </c>
    </row>
    <row r="270" spans="1:11" x14ac:dyDescent="0.25">
      <c r="A270" s="20">
        <v>41299</v>
      </c>
      <c r="B270" s="1">
        <v>0.54583333333333328</v>
      </c>
      <c r="C270" s="1">
        <v>0.64444444444444449</v>
      </c>
      <c r="D270" s="4">
        <v>1.6666666666666666E-2</v>
      </c>
      <c r="E270" s="21">
        <f t="shared" si="8"/>
        <v>9.0277777777777873E-2</v>
      </c>
      <c r="I270" s="3" t="s">
        <v>7</v>
      </c>
    </row>
    <row r="271" spans="1:11" x14ac:dyDescent="0.25">
      <c r="A271" s="20">
        <v>41299</v>
      </c>
      <c r="B271" s="1">
        <v>0.65625</v>
      </c>
      <c r="C271" s="1">
        <v>0.69930555555555562</v>
      </c>
      <c r="E271" s="21">
        <f t="shared" si="8"/>
        <v>4.3055555555555625E-2</v>
      </c>
      <c r="I271" s="3" t="s">
        <v>7</v>
      </c>
    </row>
    <row r="272" spans="1:11" x14ac:dyDescent="0.25">
      <c r="A272" s="20">
        <v>41299</v>
      </c>
      <c r="B272" s="1">
        <v>0.71111111111111114</v>
      </c>
      <c r="C272" s="1">
        <v>0.76041666666666663</v>
      </c>
      <c r="E272" s="21">
        <f t="shared" si="8"/>
        <v>4.9305555555555491E-2</v>
      </c>
      <c r="I272" s="3" t="s">
        <v>7</v>
      </c>
    </row>
    <row r="273" spans="1:11" x14ac:dyDescent="0.25">
      <c r="A273" s="20">
        <v>41299</v>
      </c>
      <c r="B273" s="1">
        <v>0.80694444444444446</v>
      </c>
      <c r="C273" s="1">
        <v>0.8833333333333333</v>
      </c>
      <c r="E273" s="21">
        <f t="shared" si="8"/>
        <v>7.638888888888884E-2</v>
      </c>
      <c r="I273" s="3" t="s">
        <v>7</v>
      </c>
    </row>
    <row r="274" spans="1:11" x14ac:dyDescent="0.25">
      <c r="E274" s="21">
        <f t="shared" si="8"/>
        <v>0</v>
      </c>
    </row>
    <row r="275" spans="1:11" x14ac:dyDescent="0.25">
      <c r="A275" s="20">
        <v>41300</v>
      </c>
      <c r="B275" s="1">
        <v>0.47847222222222219</v>
      </c>
      <c r="C275" s="1">
        <v>0.56597222222222221</v>
      </c>
      <c r="D275" s="4">
        <v>1.2499999999999999E-2</v>
      </c>
      <c r="E275" s="21">
        <f t="shared" si="8"/>
        <v>8.3333333333333356E-2</v>
      </c>
      <c r="I275" s="3" t="s">
        <v>7</v>
      </c>
    </row>
    <row r="276" spans="1:11" x14ac:dyDescent="0.25">
      <c r="A276" s="20">
        <v>41300</v>
      </c>
      <c r="B276" s="1">
        <f>C275</f>
        <v>0.56597222222222221</v>
      </c>
      <c r="C276" s="1">
        <v>0.58680555555555558</v>
      </c>
      <c r="E276" s="21">
        <f t="shared" si="8"/>
        <v>2.083333333333337E-2</v>
      </c>
      <c r="I276" s="3" t="s">
        <v>69</v>
      </c>
    </row>
    <row r="277" spans="1:11" x14ac:dyDescent="0.25">
      <c r="A277" s="20">
        <v>41300</v>
      </c>
      <c r="B277" s="1">
        <f>C276</f>
        <v>0.58680555555555558</v>
      </c>
      <c r="C277" s="1">
        <v>0.6694444444444444</v>
      </c>
      <c r="D277" s="4">
        <v>1.5277777777777777E-2</v>
      </c>
      <c r="E277" s="21">
        <f t="shared" si="8"/>
        <v>7.569444444444437E-2</v>
      </c>
      <c r="I277" s="3" t="s">
        <v>7</v>
      </c>
    </row>
    <row r="278" spans="1:11" x14ac:dyDescent="0.25">
      <c r="A278" s="20">
        <v>41300</v>
      </c>
      <c r="B278" s="1">
        <v>0.86388888888888893</v>
      </c>
      <c r="C278" s="1">
        <v>0.91666666666666663</v>
      </c>
      <c r="E278" s="21">
        <f t="shared" si="8"/>
        <v>5.2777777777777701E-2</v>
      </c>
      <c r="I278" s="3" t="s">
        <v>7</v>
      </c>
    </row>
    <row r="279" spans="1:11" x14ac:dyDescent="0.25">
      <c r="E279" s="21">
        <f t="shared" si="8"/>
        <v>0</v>
      </c>
    </row>
    <row r="280" spans="1:11" x14ac:dyDescent="0.25">
      <c r="A280" s="20">
        <v>41301</v>
      </c>
      <c r="B280" s="1">
        <v>0.64652777777777781</v>
      </c>
      <c r="C280" s="1">
        <v>0.69861111111111107</v>
      </c>
      <c r="E280" s="21">
        <f t="shared" si="8"/>
        <v>5.2083333333333259E-2</v>
      </c>
      <c r="F280" s="25">
        <f>SUM(E280:E298)</f>
        <v>1.0020833333333332</v>
      </c>
      <c r="I280" s="3" t="s">
        <v>7</v>
      </c>
    </row>
    <row r="281" spans="1:11" x14ac:dyDescent="0.25">
      <c r="A281" s="20">
        <v>41301</v>
      </c>
      <c r="B281" s="1">
        <v>0.72916666666666663</v>
      </c>
      <c r="C281" s="1">
        <v>0.7909722222222223</v>
      </c>
      <c r="E281" s="21">
        <f t="shared" si="8"/>
        <v>6.1805555555555669E-2</v>
      </c>
      <c r="I281" s="3" t="s">
        <v>7</v>
      </c>
    </row>
    <row r="282" spans="1:11" x14ac:dyDescent="0.25">
      <c r="A282" s="20">
        <v>41301</v>
      </c>
      <c r="B282" s="1">
        <v>0.80555555555555547</v>
      </c>
      <c r="C282" s="1">
        <v>0.9506944444444444</v>
      </c>
      <c r="D282" s="4">
        <v>2.7777777777777779E-3</v>
      </c>
      <c r="E282" s="21">
        <f t="shared" si="8"/>
        <v>0.14513888888888893</v>
      </c>
      <c r="I282" s="3" t="s">
        <v>7</v>
      </c>
    </row>
    <row r="283" spans="1:11" x14ac:dyDescent="0.25">
      <c r="E283" s="21">
        <f t="shared" si="8"/>
        <v>0</v>
      </c>
    </row>
    <row r="284" spans="1:11" x14ac:dyDescent="0.25">
      <c r="A284" s="20">
        <v>41302</v>
      </c>
      <c r="B284" s="1">
        <v>0.77569444444444446</v>
      </c>
      <c r="C284" s="1">
        <v>0.97013888888888899</v>
      </c>
      <c r="E284" s="21">
        <f t="shared" si="8"/>
        <v>0.19444444444444453</v>
      </c>
      <c r="I284" s="3" t="s">
        <v>60</v>
      </c>
      <c r="K284" s="2" t="s">
        <v>80</v>
      </c>
    </row>
    <row r="285" spans="1:11" x14ac:dyDescent="0.25">
      <c r="A285" s="20">
        <v>41302</v>
      </c>
      <c r="B285" s="1">
        <f>C284</f>
        <v>0.97013888888888899</v>
      </c>
      <c r="C285" s="1">
        <v>0.97638888888888886</v>
      </c>
      <c r="E285" s="21">
        <f t="shared" si="8"/>
        <v>6.2499999999998668E-3</v>
      </c>
      <c r="I285" s="3" t="s">
        <v>6</v>
      </c>
    </row>
    <row r="286" spans="1:11" x14ac:dyDescent="0.25">
      <c r="E286" s="21">
        <f t="shared" si="8"/>
        <v>0</v>
      </c>
    </row>
    <row r="287" spans="1:11" x14ac:dyDescent="0.25">
      <c r="A287" s="20">
        <v>41303</v>
      </c>
      <c r="B287" s="1">
        <v>0.78472222222222221</v>
      </c>
      <c r="C287" s="1">
        <v>0.85416666666666663</v>
      </c>
      <c r="E287" s="21">
        <f t="shared" si="8"/>
        <v>6.944444444444442E-2</v>
      </c>
      <c r="I287" s="9" t="s">
        <v>94</v>
      </c>
      <c r="K287" s="2" t="s">
        <v>81</v>
      </c>
    </row>
    <row r="288" spans="1:11" x14ac:dyDescent="0.25">
      <c r="E288" s="21">
        <f t="shared" si="8"/>
        <v>0</v>
      </c>
    </row>
    <row r="289" spans="1:11" x14ac:dyDescent="0.25">
      <c r="A289" s="20">
        <v>41304</v>
      </c>
      <c r="B289" s="1">
        <v>0.5</v>
      </c>
      <c r="C289" s="1">
        <v>0.52083333333333337</v>
      </c>
      <c r="E289" s="21">
        <f t="shared" si="8"/>
        <v>2.083333333333337E-2</v>
      </c>
      <c r="I289" s="3" t="s">
        <v>6</v>
      </c>
      <c r="K289" s="2" t="s">
        <v>82</v>
      </c>
    </row>
    <row r="290" spans="1:11" x14ac:dyDescent="0.25">
      <c r="A290" s="20">
        <v>41304</v>
      </c>
      <c r="B290" s="1">
        <v>0.84097222222222223</v>
      </c>
      <c r="C290" s="1">
        <v>0.9159722222222223</v>
      </c>
      <c r="E290" s="21">
        <f t="shared" si="8"/>
        <v>7.5000000000000067E-2</v>
      </c>
      <c r="I290" s="3" t="s">
        <v>78</v>
      </c>
      <c r="K290" s="2" t="s">
        <v>83</v>
      </c>
    </row>
    <row r="291" spans="1:11" x14ac:dyDescent="0.25">
      <c r="E291" s="21">
        <f t="shared" si="8"/>
        <v>0</v>
      </c>
    </row>
    <row r="292" spans="1:11" x14ac:dyDescent="0.25">
      <c r="A292" s="20">
        <v>41306</v>
      </c>
      <c r="B292" s="1">
        <v>0.40625</v>
      </c>
      <c r="C292" s="1">
        <v>0.50763888888888886</v>
      </c>
      <c r="E292" s="21">
        <f t="shared" si="8"/>
        <v>0.10138888888888886</v>
      </c>
      <c r="I292" s="3" t="s">
        <v>78</v>
      </c>
      <c r="K292" s="2" t="s">
        <v>84</v>
      </c>
    </row>
    <row r="293" spans="1:11" x14ac:dyDescent="0.25">
      <c r="A293" s="20">
        <v>41306</v>
      </c>
      <c r="B293" s="1">
        <v>0.58472222222222225</v>
      </c>
      <c r="C293" s="1">
        <v>0.66527777777777775</v>
      </c>
      <c r="D293" s="4">
        <v>3.472222222222222E-3</v>
      </c>
      <c r="E293" s="21">
        <f t="shared" si="8"/>
        <v>8.0555555555555491E-2</v>
      </c>
      <c r="I293" s="3" t="s">
        <v>7</v>
      </c>
      <c r="K293" s="2" t="s">
        <v>85</v>
      </c>
    </row>
    <row r="294" spans="1:11" x14ac:dyDescent="0.25">
      <c r="A294" s="20">
        <v>41306</v>
      </c>
      <c r="B294" s="1">
        <v>0.70833333333333337</v>
      </c>
      <c r="C294" s="1">
        <v>0.73611111111111116</v>
      </c>
      <c r="E294" s="21">
        <f t="shared" si="8"/>
        <v>2.777777777777779E-2</v>
      </c>
      <c r="I294" s="3" t="s">
        <v>69</v>
      </c>
    </row>
    <row r="295" spans="1:11" x14ac:dyDescent="0.25">
      <c r="A295" s="20">
        <v>41306</v>
      </c>
      <c r="B295" s="1">
        <v>0.95138888888888884</v>
      </c>
      <c r="C295" s="1">
        <v>0.96458333333333324</v>
      </c>
      <c r="E295" s="21">
        <f t="shared" si="8"/>
        <v>1.3194444444444398E-2</v>
      </c>
      <c r="I295" s="3" t="s">
        <v>69</v>
      </c>
    </row>
    <row r="296" spans="1:11" x14ac:dyDescent="0.25">
      <c r="E296" s="21">
        <f t="shared" si="8"/>
        <v>0</v>
      </c>
    </row>
    <row r="297" spans="1:11" x14ac:dyDescent="0.25">
      <c r="A297" s="20">
        <v>41307</v>
      </c>
      <c r="B297" s="1">
        <v>0.50069444444444444</v>
      </c>
      <c r="C297" s="1">
        <v>0.54999999999999993</v>
      </c>
      <c r="E297" s="21">
        <f t="shared" si="8"/>
        <v>4.9305555555555491E-2</v>
      </c>
      <c r="I297" s="3" t="s">
        <v>7</v>
      </c>
    </row>
    <row r="298" spans="1:11" x14ac:dyDescent="0.25">
      <c r="A298" s="20">
        <v>41307</v>
      </c>
      <c r="B298" s="1">
        <v>0.56597222222222221</v>
      </c>
      <c r="C298" s="1">
        <v>0.71250000000000002</v>
      </c>
      <c r="D298" s="4">
        <v>4.9999999999999996E-2</v>
      </c>
      <c r="E298" s="21">
        <f t="shared" si="8"/>
        <v>0.10486111111111115</v>
      </c>
      <c r="I298" s="3" t="s">
        <v>7</v>
      </c>
    </row>
    <row r="299" spans="1:11" x14ac:dyDescent="0.25">
      <c r="E299" s="21">
        <f t="shared" si="8"/>
        <v>0</v>
      </c>
    </row>
    <row r="300" spans="1:11" x14ac:dyDescent="0.25">
      <c r="A300" s="20">
        <v>41308</v>
      </c>
      <c r="B300" s="1">
        <v>0.7909722222222223</v>
      </c>
      <c r="C300" s="1">
        <v>0.91180555555555554</v>
      </c>
      <c r="D300" s="4">
        <v>4.9999999999999996E-2</v>
      </c>
      <c r="E300" s="21">
        <f t="shared" si="8"/>
        <v>7.916666666666658E-2</v>
      </c>
      <c r="F300" s="25">
        <f>SUM(E300:E316)</f>
        <v>0.67638888888888904</v>
      </c>
      <c r="I300" s="3" t="s">
        <v>7</v>
      </c>
      <c r="K300" s="8" t="s">
        <v>86</v>
      </c>
    </row>
    <row r="301" spans="1:11" x14ac:dyDescent="0.25">
      <c r="A301" s="20">
        <v>41308</v>
      </c>
      <c r="B301" s="1">
        <f>C300</f>
        <v>0.91180555555555554</v>
      </c>
      <c r="C301" s="1">
        <v>0.96319444444444446</v>
      </c>
      <c r="D301" s="4">
        <v>3.6111111111111115E-2</v>
      </c>
      <c r="E301" s="21">
        <f t="shared" si="8"/>
        <v>2.3611111111111145E-2</v>
      </c>
      <c r="I301" s="3" t="s">
        <v>7</v>
      </c>
      <c r="K301" s="8" t="s">
        <v>87</v>
      </c>
    </row>
    <row r="302" spans="1:11" x14ac:dyDescent="0.25">
      <c r="E302" s="21">
        <f t="shared" si="8"/>
        <v>0</v>
      </c>
    </row>
    <row r="303" spans="1:11" x14ac:dyDescent="0.25">
      <c r="A303" s="20">
        <v>41310</v>
      </c>
      <c r="B303" s="1">
        <v>0.90972222222222221</v>
      </c>
      <c r="C303" s="1">
        <v>0.93263888888888891</v>
      </c>
      <c r="E303" s="21">
        <f t="shared" si="8"/>
        <v>2.2916666666666696E-2</v>
      </c>
      <c r="I303" s="3" t="s">
        <v>7</v>
      </c>
    </row>
    <row r="304" spans="1:11" x14ac:dyDescent="0.25">
      <c r="E304" s="21">
        <f t="shared" si="8"/>
        <v>0</v>
      </c>
    </row>
    <row r="305" spans="1:11" x14ac:dyDescent="0.25">
      <c r="A305" s="20">
        <v>41312</v>
      </c>
      <c r="B305" s="1">
        <v>0.37847222222222227</v>
      </c>
      <c r="C305" s="1">
        <v>0.40277777777777773</v>
      </c>
      <c r="E305" s="21">
        <f t="shared" si="8"/>
        <v>2.4305555555555469E-2</v>
      </c>
      <c r="I305" s="3" t="s">
        <v>7</v>
      </c>
      <c r="K305" s="2" t="s">
        <v>88</v>
      </c>
    </row>
    <row r="306" spans="1:11" x14ac:dyDescent="0.25">
      <c r="A306" s="20">
        <v>41312</v>
      </c>
      <c r="B306" s="1">
        <v>0.80902777777777779</v>
      </c>
      <c r="C306" s="1">
        <v>0.91319444444444453</v>
      </c>
      <c r="D306" s="4">
        <v>6.9444444444444441E-3</v>
      </c>
      <c r="E306" s="21">
        <f t="shared" si="8"/>
        <v>0.10416666666666674</v>
      </c>
      <c r="I306" s="3" t="s">
        <v>7</v>
      </c>
    </row>
    <row r="307" spans="1:11" x14ac:dyDescent="0.25">
      <c r="E307" s="21">
        <f t="shared" si="8"/>
        <v>0</v>
      </c>
    </row>
    <row r="308" spans="1:11" x14ac:dyDescent="0.25">
      <c r="A308" s="20">
        <v>41313</v>
      </c>
      <c r="B308" s="1">
        <v>0.37152777777777773</v>
      </c>
      <c r="C308" s="1">
        <v>0.39930555555555558</v>
      </c>
      <c r="E308" s="21">
        <f t="shared" si="8"/>
        <v>2.7777777777777846E-2</v>
      </c>
      <c r="I308" s="3" t="s">
        <v>7</v>
      </c>
      <c r="K308" s="2" t="s">
        <v>89</v>
      </c>
    </row>
    <row r="309" spans="1:11" x14ac:dyDescent="0.25">
      <c r="A309" s="20">
        <v>41313</v>
      </c>
      <c r="B309" s="1">
        <v>0.47222222222222227</v>
      </c>
      <c r="C309" s="1">
        <v>0.55208333333333337</v>
      </c>
      <c r="E309" s="21">
        <f t="shared" si="8"/>
        <v>7.9861111111111105E-2</v>
      </c>
      <c r="I309" s="3" t="s">
        <v>69</v>
      </c>
      <c r="K309" s="2" t="s">
        <v>91</v>
      </c>
    </row>
    <row r="310" spans="1:11" x14ac:dyDescent="0.25">
      <c r="A310" s="20">
        <v>41313</v>
      </c>
      <c r="B310" s="1">
        <v>0.57916666666666672</v>
      </c>
      <c r="C310" s="1">
        <v>0.61805555555555558</v>
      </c>
      <c r="D310" s="4">
        <v>1.1805555555555555E-2</v>
      </c>
      <c r="E310" s="21">
        <f t="shared" si="8"/>
        <v>3.5416666666666638E-2</v>
      </c>
      <c r="I310" s="3" t="s">
        <v>69</v>
      </c>
      <c r="K310" s="2" t="s">
        <v>91</v>
      </c>
    </row>
    <row r="311" spans="1:11" x14ac:dyDescent="0.25">
      <c r="A311" s="20">
        <v>41313</v>
      </c>
      <c r="B311" s="1">
        <v>0.64513888888888882</v>
      </c>
      <c r="C311" s="1">
        <v>0.76180555555555562</v>
      </c>
      <c r="D311" s="4">
        <v>2.0833333333333332E-2</v>
      </c>
      <c r="E311" s="21">
        <f t="shared" si="8"/>
        <v>0.10416666666666681</v>
      </c>
      <c r="I311" s="3" t="s">
        <v>69</v>
      </c>
      <c r="K311" s="2" t="s">
        <v>91</v>
      </c>
    </row>
    <row r="312" spans="1:11" x14ac:dyDescent="0.25">
      <c r="A312" s="20">
        <v>41313</v>
      </c>
      <c r="B312" s="1">
        <v>0.8354166666666667</v>
      </c>
      <c r="C312" s="1">
        <v>0.88541666666666663</v>
      </c>
      <c r="E312" s="21">
        <f t="shared" si="8"/>
        <v>4.9999999999999933E-2</v>
      </c>
      <c r="I312" s="3" t="s">
        <v>7</v>
      </c>
      <c r="K312" s="2" t="s">
        <v>90</v>
      </c>
    </row>
    <row r="313" spans="1:11" x14ac:dyDescent="0.25">
      <c r="E313" s="21">
        <f t="shared" si="8"/>
        <v>0</v>
      </c>
    </row>
    <row r="314" spans="1:11" x14ac:dyDescent="0.25">
      <c r="A314" s="20">
        <v>41314</v>
      </c>
      <c r="B314" s="1">
        <v>0.4201388888888889</v>
      </c>
      <c r="C314" s="1">
        <v>0.52638888888888891</v>
      </c>
      <c r="D314" s="4">
        <v>2.7777777777777776E-2</v>
      </c>
      <c r="E314" s="21">
        <f t="shared" si="8"/>
        <v>8.6805555555555566E-2</v>
      </c>
      <c r="I314" s="3" t="s">
        <v>7</v>
      </c>
    </row>
    <row r="315" spans="1:11" x14ac:dyDescent="0.25">
      <c r="A315" s="20">
        <v>41314</v>
      </c>
      <c r="B315" s="1">
        <v>0.66249999999999998</v>
      </c>
      <c r="C315" s="1">
        <v>0.69097222222222221</v>
      </c>
      <c r="E315" s="21">
        <f t="shared" si="8"/>
        <v>2.8472222222222232E-2</v>
      </c>
      <c r="I315" s="3" t="s">
        <v>7</v>
      </c>
    </row>
    <row r="316" spans="1:11" x14ac:dyDescent="0.25">
      <c r="A316" s="20">
        <v>41314</v>
      </c>
      <c r="B316" s="1">
        <v>0.80763888888888891</v>
      </c>
      <c r="C316" s="1">
        <v>0.81736111111111109</v>
      </c>
      <c r="E316" s="21">
        <f t="shared" si="8"/>
        <v>9.7222222222221877E-3</v>
      </c>
      <c r="I316" s="3" t="s">
        <v>6</v>
      </c>
      <c r="K316" s="2" t="s">
        <v>92</v>
      </c>
    </row>
    <row r="317" spans="1:11" x14ac:dyDescent="0.25">
      <c r="E317" s="21">
        <f t="shared" si="8"/>
        <v>0</v>
      </c>
    </row>
    <row r="318" spans="1:11" x14ac:dyDescent="0.25">
      <c r="A318" s="20">
        <v>41315</v>
      </c>
      <c r="B318" s="1">
        <v>0.73611111111111116</v>
      </c>
      <c r="C318" s="1">
        <v>0.76111111111111107</v>
      </c>
      <c r="E318" s="21">
        <f t="shared" si="8"/>
        <v>2.4999999999999911E-2</v>
      </c>
      <c r="F318" s="25">
        <f>SUM(E318:E341)</f>
        <v>0.78680555555555576</v>
      </c>
      <c r="I318" s="3" t="s">
        <v>69</v>
      </c>
    </row>
    <row r="319" spans="1:11" x14ac:dyDescent="0.25">
      <c r="A319" s="20">
        <v>41315</v>
      </c>
      <c r="B319" s="1">
        <v>0.80555555555555547</v>
      </c>
      <c r="C319" s="1">
        <v>0.84166666666666667</v>
      </c>
      <c r="E319" s="21">
        <f t="shared" si="8"/>
        <v>3.6111111111111205E-2</v>
      </c>
      <c r="I319" s="3" t="s">
        <v>69</v>
      </c>
    </row>
    <row r="320" spans="1:11" x14ac:dyDescent="0.25">
      <c r="A320" s="20">
        <v>41315</v>
      </c>
      <c r="B320" s="1">
        <v>0.84236111111111101</v>
      </c>
      <c r="C320" s="1">
        <v>0.84305555555555556</v>
      </c>
      <c r="E320" s="21">
        <f t="shared" si="8"/>
        <v>6.94444444444553E-4</v>
      </c>
    </row>
    <row r="321" spans="1:11" x14ac:dyDescent="0.25">
      <c r="E321" s="21">
        <f t="shared" si="8"/>
        <v>0</v>
      </c>
    </row>
    <row r="322" spans="1:11" x14ac:dyDescent="0.25">
      <c r="A322" s="20">
        <v>41316</v>
      </c>
      <c r="B322" s="1">
        <v>0.52083333333333337</v>
      </c>
      <c r="C322" s="1">
        <v>0.57291666666666663</v>
      </c>
      <c r="E322" s="21">
        <f t="shared" si="8"/>
        <v>5.2083333333333259E-2</v>
      </c>
      <c r="I322" s="3" t="s">
        <v>75</v>
      </c>
      <c r="K322" s="2" t="s">
        <v>93</v>
      </c>
    </row>
    <row r="323" spans="1:11" x14ac:dyDescent="0.25">
      <c r="A323" s="20">
        <v>41316</v>
      </c>
      <c r="B323" s="1">
        <v>0.84375</v>
      </c>
      <c r="C323" s="1">
        <v>0.86458333333333337</v>
      </c>
      <c r="E323" s="21">
        <f t="shared" si="8"/>
        <v>2.083333333333337E-2</v>
      </c>
      <c r="I323" s="3" t="s">
        <v>7</v>
      </c>
    </row>
    <row r="324" spans="1:11" x14ac:dyDescent="0.25">
      <c r="E324" s="21">
        <f t="shared" si="8"/>
        <v>0</v>
      </c>
    </row>
    <row r="325" spans="1:11" x14ac:dyDescent="0.25">
      <c r="A325" s="20">
        <v>41317</v>
      </c>
      <c r="B325" s="1">
        <v>0.50694444444444442</v>
      </c>
      <c r="C325" s="1">
        <v>0.54166666666666663</v>
      </c>
      <c r="E325" s="21">
        <f t="shared" si="8"/>
        <v>3.472222222222221E-2</v>
      </c>
      <c r="I325" s="9" t="s">
        <v>94</v>
      </c>
      <c r="K325" s="8" t="s">
        <v>95</v>
      </c>
    </row>
    <row r="326" spans="1:11" x14ac:dyDescent="0.25">
      <c r="A326" s="20">
        <v>41317</v>
      </c>
      <c r="B326" s="1">
        <v>0.89583333333333337</v>
      </c>
      <c r="C326" s="1">
        <v>0.9472222222222223</v>
      </c>
      <c r="E326" s="21">
        <f t="shared" si="8"/>
        <v>5.1388888888888928E-2</v>
      </c>
      <c r="I326" s="9" t="s">
        <v>7</v>
      </c>
      <c r="K326" s="8" t="s">
        <v>96</v>
      </c>
    </row>
    <row r="327" spans="1:11" x14ac:dyDescent="0.25">
      <c r="E327" s="21">
        <f t="shared" si="8"/>
        <v>0</v>
      </c>
      <c r="I327" s="9"/>
      <c r="K327" s="8"/>
    </row>
    <row r="328" spans="1:11" x14ac:dyDescent="0.25">
      <c r="A328" s="20">
        <v>41318</v>
      </c>
      <c r="B328" s="1">
        <v>0.85416666666666663</v>
      </c>
      <c r="C328" s="1">
        <v>0.89583333333333337</v>
      </c>
      <c r="E328" s="21">
        <f t="shared" si="8"/>
        <v>4.1666666666666741E-2</v>
      </c>
      <c r="I328" s="9" t="s">
        <v>94</v>
      </c>
      <c r="K328" s="8" t="s">
        <v>98</v>
      </c>
    </row>
    <row r="329" spans="1:11" x14ac:dyDescent="0.25">
      <c r="E329" s="21">
        <f t="shared" si="8"/>
        <v>0</v>
      </c>
    </row>
    <row r="330" spans="1:11" x14ac:dyDescent="0.25">
      <c r="A330" s="20">
        <v>41319</v>
      </c>
      <c r="B330" s="1">
        <v>0.83333333333333337</v>
      </c>
      <c r="C330" s="1">
        <v>0.86458333333333337</v>
      </c>
      <c r="E330" s="21">
        <f t="shared" si="8"/>
        <v>3.125E-2</v>
      </c>
      <c r="I330" s="3" t="s">
        <v>13</v>
      </c>
      <c r="K330" s="2" t="s">
        <v>97</v>
      </c>
    </row>
    <row r="331" spans="1:11" x14ac:dyDescent="0.25">
      <c r="E331" s="21">
        <f t="shared" si="8"/>
        <v>0</v>
      </c>
    </row>
    <row r="332" spans="1:11" x14ac:dyDescent="0.25">
      <c r="A332" s="20">
        <v>41320</v>
      </c>
      <c r="B332" s="1">
        <v>0.4375</v>
      </c>
      <c r="C332" s="1">
        <v>0.53472222222222221</v>
      </c>
      <c r="D332" s="4">
        <v>7.6388888888888886E-3</v>
      </c>
      <c r="E332" s="21">
        <f t="shared" si="8"/>
        <v>9.722222222222221E-2</v>
      </c>
      <c r="I332" s="3" t="s">
        <v>7</v>
      </c>
      <c r="K332" s="2" t="s">
        <v>100</v>
      </c>
    </row>
    <row r="333" spans="1:11" x14ac:dyDescent="0.25">
      <c r="A333" s="20">
        <v>41320</v>
      </c>
      <c r="B333" s="1">
        <f>C332</f>
        <v>0.53472222222222221</v>
      </c>
      <c r="C333" s="1">
        <v>0.56180555555555556</v>
      </c>
      <c r="E333" s="21">
        <f t="shared" si="8"/>
        <v>2.7083333333333348E-2</v>
      </c>
      <c r="I333" s="3" t="s">
        <v>13</v>
      </c>
      <c r="K333" s="2" t="s">
        <v>99</v>
      </c>
    </row>
    <row r="334" spans="1:11" x14ac:dyDescent="0.25">
      <c r="A334" s="20">
        <v>41320</v>
      </c>
      <c r="B334" s="1">
        <v>0.64097222222222217</v>
      </c>
      <c r="C334" s="1">
        <v>0.80486111111111114</v>
      </c>
      <c r="D334" s="4">
        <v>1.5277777777777777E-2</v>
      </c>
      <c r="E334" s="21">
        <f t="shared" si="8"/>
        <v>0.15694444444444453</v>
      </c>
      <c r="I334" s="3" t="s">
        <v>7</v>
      </c>
      <c r="K334" s="2" t="s">
        <v>100</v>
      </c>
    </row>
    <row r="335" spans="1:11" x14ac:dyDescent="0.25">
      <c r="A335" s="20">
        <v>41320</v>
      </c>
      <c r="B335" s="1">
        <v>0.86458333333333337</v>
      </c>
      <c r="C335" s="1">
        <v>0.90069444444444446</v>
      </c>
      <c r="E335" s="21">
        <f t="shared" si="8"/>
        <v>3.6111111111111094E-2</v>
      </c>
      <c r="I335" s="3" t="s">
        <v>7</v>
      </c>
      <c r="K335" s="2" t="s">
        <v>100</v>
      </c>
    </row>
    <row r="336" spans="1:11" x14ac:dyDescent="0.25">
      <c r="A336" s="20">
        <v>41320</v>
      </c>
      <c r="B336" s="1">
        <v>0.93333333333333324</v>
      </c>
      <c r="C336" s="1">
        <v>0.96597222222222223</v>
      </c>
      <c r="E336" s="21">
        <f t="shared" si="8"/>
        <v>3.2638888888888995E-2</v>
      </c>
      <c r="I336" s="3" t="s">
        <v>7</v>
      </c>
    </row>
    <row r="337" spans="1:11" x14ac:dyDescent="0.25">
      <c r="E337" s="21">
        <f t="shared" si="8"/>
        <v>0</v>
      </c>
    </row>
    <row r="338" spans="1:11" x14ac:dyDescent="0.25">
      <c r="A338" s="20">
        <v>41321</v>
      </c>
      <c r="B338" s="1">
        <v>0.51388888888888895</v>
      </c>
      <c r="C338" s="1">
        <v>0.53819444444444442</v>
      </c>
      <c r="E338" s="21">
        <f t="shared" si="8"/>
        <v>2.4305555555555469E-2</v>
      </c>
      <c r="I338" s="3" t="s">
        <v>6</v>
      </c>
    </row>
    <row r="339" spans="1:11" x14ac:dyDescent="0.25">
      <c r="A339" s="20">
        <v>41321</v>
      </c>
      <c r="B339" s="1">
        <v>0.5541666666666667</v>
      </c>
      <c r="C339" s="1">
        <v>0.61111111111111105</v>
      </c>
      <c r="D339" s="4">
        <v>2.0833333333333332E-2</v>
      </c>
      <c r="E339" s="21">
        <f t="shared" si="8"/>
        <v>4.4444444444444356E-2</v>
      </c>
      <c r="I339" s="3" t="s">
        <v>7</v>
      </c>
    </row>
    <row r="340" spans="1:11" x14ac:dyDescent="0.25">
      <c r="A340" s="20">
        <v>41321</v>
      </c>
      <c r="B340" s="1">
        <v>0.62013888888888891</v>
      </c>
      <c r="C340" s="1">
        <v>0.64374999999999993</v>
      </c>
      <c r="D340" s="4">
        <v>6.9444444444444441E-3</v>
      </c>
      <c r="E340" s="21">
        <f t="shared" si="8"/>
        <v>2.3611111111111027E-2</v>
      </c>
      <c r="I340" s="3" t="s">
        <v>7</v>
      </c>
    </row>
    <row r="341" spans="1:11" x14ac:dyDescent="0.25">
      <c r="A341" s="20">
        <v>41321</v>
      </c>
      <c r="B341" s="1">
        <v>0.69374999999999998</v>
      </c>
      <c r="C341" s="1">
        <v>0.74444444444444446</v>
      </c>
      <c r="E341" s="21">
        <f t="shared" si="8"/>
        <v>5.0694444444444486E-2</v>
      </c>
      <c r="I341" s="3" t="s">
        <v>7</v>
      </c>
    </row>
    <row r="342" spans="1:11" x14ac:dyDescent="0.25">
      <c r="E342" s="21">
        <f t="shared" si="8"/>
        <v>0</v>
      </c>
    </row>
    <row r="343" spans="1:11" x14ac:dyDescent="0.25">
      <c r="A343" s="20">
        <v>41322</v>
      </c>
      <c r="B343" s="1">
        <v>0.78055555555555556</v>
      </c>
      <c r="C343" s="1">
        <v>0.93055555555555547</v>
      </c>
      <c r="D343" s="4">
        <v>5.5555555555555558E-3</v>
      </c>
      <c r="E343" s="21">
        <f t="shared" si="8"/>
        <v>0.14999999999999991</v>
      </c>
      <c r="F343" s="25">
        <f>SUM(E343:E364)</f>
        <v>1.0270833333333333</v>
      </c>
      <c r="I343" s="3" t="s">
        <v>7</v>
      </c>
    </row>
    <row r="344" spans="1:11" x14ac:dyDescent="0.25">
      <c r="E344" s="21">
        <f t="shared" si="8"/>
        <v>0</v>
      </c>
    </row>
    <row r="345" spans="1:11" x14ac:dyDescent="0.25">
      <c r="A345" s="20">
        <v>41324</v>
      </c>
      <c r="B345" s="1">
        <v>0.35972222222222222</v>
      </c>
      <c r="C345" s="1">
        <v>0.37013888888888885</v>
      </c>
      <c r="E345" s="21">
        <f t="shared" si="8"/>
        <v>1.041666666666663E-2</v>
      </c>
      <c r="I345" s="3" t="s">
        <v>6</v>
      </c>
      <c r="K345" s="2" t="s">
        <v>101</v>
      </c>
    </row>
    <row r="346" spans="1:11" x14ac:dyDescent="0.25">
      <c r="E346" s="21">
        <f t="shared" si="8"/>
        <v>0</v>
      </c>
    </row>
    <row r="347" spans="1:11" x14ac:dyDescent="0.25">
      <c r="A347" s="20">
        <v>41324</v>
      </c>
      <c r="B347" s="1">
        <v>0.81111111111111101</v>
      </c>
      <c r="C347" s="1">
        <v>0.82500000000000007</v>
      </c>
      <c r="E347" s="21">
        <f t="shared" si="8"/>
        <v>1.3888888888889062E-2</v>
      </c>
      <c r="I347" s="3" t="s">
        <v>6</v>
      </c>
    </row>
    <row r="348" spans="1:11" x14ac:dyDescent="0.25">
      <c r="A348" s="20">
        <v>41324</v>
      </c>
      <c r="B348" s="1">
        <f>C347</f>
        <v>0.82500000000000007</v>
      </c>
      <c r="C348" s="1">
        <v>0.94236111111111109</v>
      </c>
      <c r="E348" s="21">
        <f t="shared" si="8"/>
        <v>0.11736111111111103</v>
      </c>
      <c r="I348" s="3" t="s">
        <v>7</v>
      </c>
      <c r="K348" s="2" t="s">
        <v>102</v>
      </c>
    </row>
    <row r="349" spans="1:11" x14ac:dyDescent="0.25">
      <c r="E349" s="21">
        <f t="shared" si="8"/>
        <v>0</v>
      </c>
    </row>
    <row r="350" spans="1:11" x14ac:dyDescent="0.25">
      <c r="A350" s="20">
        <v>41326</v>
      </c>
      <c r="B350" s="1">
        <v>0.77777777777777779</v>
      </c>
      <c r="C350" s="1">
        <v>0.81458333333333333</v>
      </c>
      <c r="D350" s="4">
        <v>2.7777777777777779E-3</v>
      </c>
      <c r="E350" s="21">
        <f t="shared" si="8"/>
        <v>3.6805555555555536E-2</v>
      </c>
      <c r="I350" s="3" t="s">
        <v>7</v>
      </c>
      <c r="K350" s="2" t="s">
        <v>103</v>
      </c>
    </row>
    <row r="351" spans="1:11" x14ac:dyDescent="0.25">
      <c r="A351" s="20">
        <v>41326</v>
      </c>
      <c r="B351" s="1">
        <v>0.83680555555555547</v>
      </c>
      <c r="C351" s="1">
        <v>0.92569444444444438</v>
      </c>
      <c r="D351" s="4">
        <v>5.5555555555555558E-3</v>
      </c>
      <c r="E351" s="21">
        <f t="shared" si="8"/>
        <v>8.8888888888888906E-2</v>
      </c>
      <c r="I351" s="3" t="s">
        <v>7</v>
      </c>
      <c r="K351" s="2" t="s">
        <v>104</v>
      </c>
    </row>
    <row r="352" spans="1:11" x14ac:dyDescent="0.25">
      <c r="E352" s="21">
        <f t="shared" si="8"/>
        <v>0</v>
      </c>
    </row>
    <row r="353" spans="1:11" x14ac:dyDescent="0.25">
      <c r="A353" s="20">
        <v>41327</v>
      </c>
      <c r="B353" s="1">
        <v>0.40902777777777777</v>
      </c>
      <c r="C353" s="1">
        <v>0.45902777777777781</v>
      </c>
      <c r="E353" s="21">
        <f t="shared" si="8"/>
        <v>5.0000000000000044E-2</v>
      </c>
      <c r="I353" s="3" t="s">
        <v>7</v>
      </c>
    </row>
    <row r="354" spans="1:11" x14ac:dyDescent="0.25">
      <c r="A354" s="20">
        <v>41327</v>
      </c>
      <c r="B354" s="1">
        <v>0.48749999999999999</v>
      </c>
      <c r="C354" s="1">
        <v>0.54722222222222217</v>
      </c>
      <c r="E354" s="21">
        <f t="shared" si="8"/>
        <v>5.9722222222222177E-2</v>
      </c>
      <c r="I354" s="3" t="s">
        <v>7</v>
      </c>
    </row>
    <row r="355" spans="1:11" x14ac:dyDescent="0.25">
      <c r="A355" s="20">
        <v>41327</v>
      </c>
      <c r="B355" s="1">
        <v>0.5625</v>
      </c>
      <c r="C355" s="1">
        <v>0.71180555555555547</v>
      </c>
      <c r="D355" s="4">
        <v>3.8194444444444441E-2</v>
      </c>
      <c r="E355" s="21">
        <f t="shared" si="8"/>
        <v>0.11944444444444435</v>
      </c>
      <c r="I355" s="3" t="s">
        <v>7</v>
      </c>
    </row>
    <row r="356" spans="1:11" x14ac:dyDescent="0.25">
      <c r="A356" s="20">
        <v>41327</v>
      </c>
      <c r="B356" s="1">
        <v>0.73263888888888884</v>
      </c>
      <c r="C356" s="1">
        <v>0.7416666666666667</v>
      </c>
      <c r="E356" s="21">
        <f>IF(D356&lt;(12/1440),C356-B356,C356-B356-D356+(12/1440))</f>
        <v>9.0277777777778567E-3</v>
      </c>
      <c r="I356" s="3" t="s">
        <v>7</v>
      </c>
    </row>
    <row r="357" spans="1:11" x14ac:dyDescent="0.25">
      <c r="A357" s="20">
        <v>41327</v>
      </c>
      <c r="B357" s="1">
        <f>C356</f>
        <v>0.7416666666666667</v>
      </c>
      <c r="C357" s="1">
        <v>0.78194444444444444</v>
      </c>
      <c r="E357" s="21">
        <f>IF(D357&lt;(12/1440),C357-B357,C357-B357-D357+(12/1440))</f>
        <v>4.0277777777777746E-2</v>
      </c>
      <c r="I357" s="3" t="s">
        <v>6</v>
      </c>
      <c r="K357" s="8" t="s">
        <v>105</v>
      </c>
    </row>
    <row r="358" spans="1:11" x14ac:dyDescent="0.25">
      <c r="A358" s="20">
        <v>41327</v>
      </c>
      <c r="B358" s="1">
        <f>C357</f>
        <v>0.78194444444444444</v>
      </c>
      <c r="C358" s="1">
        <v>0.82430555555555562</v>
      </c>
      <c r="E358" s="21">
        <f t="shared" si="8"/>
        <v>4.2361111111111183E-2</v>
      </c>
      <c r="I358" s="3" t="s">
        <v>7</v>
      </c>
    </row>
    <row r="359" spans="1:11" x14ac:dyDescent="0.25">
      <c r="A359" s="20">
        <v>41327</v>
      </c>
      <c r="B359" s="1">
        <v>0.86458333333333337</v>
      </c>
      <c r="C359" s="1">
        <v>0.89236111111111116</v>
      </c>
      <c r="E359" s="21">
        <f t="shared" si="8"/>
        <v>2.777777777777779E-2</v>
      </c>
      <c r="I359" s="3" t="s">
        <v>7</v>
      </c>
    </row>
    <row r="360" spans="1:11" x14ac:dyDescent="0.25">
      <c r="A360" s="20">
        <v>41327</v>
      </c>
      <c r="B360" s="1">
        <v>0.91805555555555562</v>
      </c>
      <c r="C360" s="1">
        <v>0.94097222222222221</v>
      </c>
      <c r="E360" s="21">
        <f t="shared" si="8"/>
        <v>2.2916666666666585E-2</v>
      </c>
      <c r="I360" s="3" t="s">
        <v>7</v>
      </c>
    </row>
    <row r="361" spans="1:11" x14ac:dyDescent="0.25">
      <c r="E361" s="21">
        <f t="shared" si="8"/>
        <v>0</v>
      </c>
    </row>
    <row r="362" spans="1:11" x14ac:dyDescent="0.25">
      <c r="A362" s="20">
        <v>41328</v>
      </c>
      <c r="B362" s="1">
        <v>0.47222222222222227</v>
      </c>
      <c r="C362" s="1">
        <v>0.58333333333333337</v>
      </c>
      <c r="D362" s="4">
        <v>2.2222222222222223E-2</v>
      </c>
      <c r="E362" s="21">
        <f t="shared" si="8"/>
        <v>9.722222222222221E-2</v>
      </c>
      <c r="I362" s="3" t="s">
        <v>7</v>
      </c>
    </row>
    <row r="363" spans="1:11" x14ac:dyDescent="0.25">
      <c r="A363" s="20">
        <v>41328</v>
      </c>
      <c r="B363" s="1">
        <f>C362</f>
        <v>0.58333333333333337</v>
      </c>
      <c r="C363" s="1">
        <v>0.61111111111111105</v>
      </c>
      <c r="E363" s="21">
        <f t="shared" si="8"/>
        <v>2.7777777777777679E-2</v>
      </c>
      <c r="I363" s="3" t="s">
        <v>75</v>
      </c>
    </row>
    <row r="364" spans="1:11" x14ac:dyDescent="0.25">
      <c r="A364" s="20">
        <v>41328</v>
      </c>
      <c r="B364" s="1">
        <f>C363</f>
        <v>0.61111111111111105</v>
      </c>
      <c r="C364" s="1">
        <v>0.73333333333333339</v>
      </c>
      <c r="D364" s="4">
        <v>1.7361111111111112E-2</v>
      </c>
      <c r="E364" s="21">
        <f t="shared" si="8"/>
        <v>0.11319444444444457</v>
      </c>
      <c r="I364" s="3" t="s">
        <v>7</v>
      </c>
    </row>
    <row r="365" spans="1:11" x14ac:dyDescent="0.25">
      <c r="E365" s="21">
        <f t="shared" si="8"/>
        <v>0</v>
      </c>
    </row>
    <row r="366" spans="1:11" x14ac:dyDescent="0.25">
      <c r="A366" s="20">
        <v>41329</v>
      </c>
      <c r="B366" s="1">
        <v>0.78472222222222221</v>
      </c>
      <c r="C366" s="1">
        <v>0.82986111111111116</v>
      </c>
      <c r="E366" s="21">
        <f t="shared" si="8"/>
        <v>4.5138888888888951E-2</v>
      </c>
      <c r="F366" s="25">
        <f>SUM(E366:E386)</f>
        <v>0.80069444444444438</v>
      </c>
      <c r="I366" s="3" t="s">
        <v>7</v>
      </c>
    </row>
    <row r="367" spans="1:11" x14ac:dyDescent="0.25">
      <c r="A367" s="20">
        <v>41329</v>
      </c>
      <c r="B367" s="1">
        <v>0.82986111111111116</v>
      </c>
      <c r="C367" s="1">
        <v>0.84513888888888899</v>
      </c>
      <c r="E367" s="21">
        <f t="shared" si="8"/>
        <v>1.5277777777777835E-2</v>
      </c>
      <c r="I367" s="9" t="s">
        <v>6</v>
      </c>
    </row>
    <row r="368" spans="1:11" x14ac:dyDescent="0.25">
      <c r="A368" s="20">
        <v>41329</v>
      </c>
      <c r="B368" s="1">
        <f>C367</f>
        <v>0.84513888888888899</v>
      </c>
      <c r="C368" s="1">
        <v>0.9243055555555556</v>
      </c>
      <c r="D368" s="4">
        <v>1.5277777777777777E-2</v>
      </c>
      <c r="E368" s="21">
        <f t="shared" si="8"/>
        <v>7.222222222222216E-2</v>
      </c>
      <c r="I368" s="9"/>
    </row>
    <row r="369" spans="1:11" x14ac:dyDescent="0.25">
      <c r="I369" s="9"/>
    </row>
    <row r="370" spans="1:11" x14ac:dyDescent="0.25">
      <c r="A370" s="20">
        <v>41330</v>
      </c>
      <c r="B370" s="1">
        <v>0.5</v>
      </c>
      <c r="C370" s="1">
        <v>0.58333333333333337</v>
      </c>
      <c r="E370" s="21">
        <f t="shared" si="8"/>
        <v>8.333333333333337E-2</v>
      </c>
      <c r="I370" s="9" t="s">
        <v>60</v>
      </c>
    </row>
    <row r="371" spans="1:11" x14ac:dyDescent="0.25">
      <c r="A371" s="20">
        <v>41330</v>
      </c>
      <c r="B371" s="1">
        <v>0.83333333333333337</v>
      </c>
      <c r="C371" s="1">
        <v>0.85416666666666663</v>
      </c>
      <c r="E371" s="21">
        <f t="shared" si="8"/>
        <v>2.0833333333333259E-2</v>
      </c>
      <c r="I371" s="9" t="s">
        <v>6</v>
      </c>
    </row>
    <row r="372" spans="1:11" x14ac:dyDescent="0.25">
      <c r="A372" s="20">
        <v>41330</v>
      </c>
      <c r="B372" s="1">
        <f>C371</f>
        <v>0.85416666666666663</v>
      </c>
      <c r="C372" s="1">
        <v>0.9277777777777777</v>
      </c>
      <c r="E372" s="21">
        <f t="shared" si="8"/>
        <v>7.3611111111111072E-2</v>
      </c>
      <c r="I372" s="3" t="s">
        <v>7</v>
      </c>
      <c r="K372" s="2" t="s">
        <v>106</v>
      </c>
    </row>
    <row r="374" spans="1:11" x14ac:dyDescent="0.25">
      <c r="A374" s="20">
        <v>41331</v>
      </c>
      <c r="B374" s="1">
        <v>0.50347222222222221</v>
      </c>
      <c r="C374" s="1">
        <v>0.53125</v>
      </c>
      <c r="E374" s="21">
        <f t="shared" si="8"/>
        <v>2.777777777777779E-2</v>
      </c>
      <c r="I374" s="3" t="s">
        <v>75</v>
      </c>
    </row>
    <row r="375" spans="1:11" x14ac:dyDescent="0.25">
      <c r="A375" s="20">
        <v>41331</v>
      </c>
      <c r="B375" s="1">
        <v>0.86249999999999993</v>
      </c>
      <c r="C375" s="1">
        <v>0.90625</v>
      </c>
      <c r="E375" s="21">
        <f t="shared" si="8"/>
        <v>4.3750000000000067E-2</v>
      </c>
      <c r="I375" s="3" t="s">
        <v>7</v>
      </c>
      <c r="K375" s="2" t="s">
        <v>107</v>
      </c>
    </row>
    <row r="376" spans="1:11" x14ac:dyDescent="0.25">
      <c r="E376" s="21">
        <f t="shared" si="8"/>
        <v>0</v>
      </c>
      <c r="I376" s="9"/>
    </row>
    <row r="377" spans="1:11" x14ac:dyDescent="0.25">
      <c r="A377" s="20">
        <v>41332</v>
      </c>
      <c r="B377" s="1">
        <v>0.88750000000000007</v>
      </c>
      <c r="C377" s="1">
        <v>0.94027777777777777</v>
      </c>
      <c r="E377" s="21">
        <f t="shared" si="8"/>
        <v>5.2777777777777701E-2</v>
      </c>
      <c r="I377" s="9" t="s">
        <v>7</v>
      </c>
    </row>
    <row r="378" spans="1:11" x14ac:dyDescent="0.25">
      <c r="E378" s="21">
        <f t="shared" si="8"/>
        <v>0</v>
      </c>
      <c r="I378" s="9"/>
    </row>
    <row r="379" spans="1:11" x14ac:dyDescent="0.25">
      <c r="A379" s="20">
        <v>41333</v>
      </c>
      <c r="B379" s="1">
        <v>0.76388888888888884</v>
      </c>
      <c r="C379" s="1">
        <v>0.80902777777777779</v>
      </c>
      <c r="E379" s="21">
        <f t="shared" si="8"/>
        <v>4.5138888888888951E-2</v>
      </c>
      <c r="I379" s="9" t="s">
        <v>6</v>
      </c>
      <c r="K379" s="2" t="s">
        <v>108</v>
      </c>
    </row>
    <row r="380" spans="1:11" x14ac:dyDescent="0.25">
      <c r="A380" s="20">
        <v>41333</v>
      </c>
      <c r="B380" s="1">
        <v>0.84930555555555554</v>
      </c>
      <c r="C380" s="1">
        <v>0.92569444444444438</v>
      </c>
      <c r="E380" s="21">
        <f t="shared" si="8"/>
        <v>7.638888888888884E-2</v>
      </c>
      <c r="I380" s="9" t="s">
        <v>7</v>
      </c>
      <c r="K380" s="2" t="s">
        <v>109</v>
      </c>
    </row>
    <row r="381" spans="1:11" x14ac:dyDescent="0.25">
      <c r="E381" s="21">
        <f t="shared" si="8"/>
        <v>0</v>
      </c>
      <c r="I381" s="9"/>
    </row>
    <row r="382" spans="1:11" x14ac:dyDescent="0.25">
      <c r="A382" s="20">
        <v>41334</v>
      </c>
      <c r="B382" s="1">
        <v>0.40208333333333335</v>
      </c>
      <c r="C382" s="1">
        <v>0.4861111111111111</v>
      </c>
      <c r="D382" s="4">
        <v>1.3888888888888888E-2</v>
      </c>
      <c r="E382" s="21">
        <f t="shared" si="8"/>
        <v>7.8472222222222193E-2</v>
      </c>
      <c r="I382" s="9" t="s">
        <v>7</v>
      </c>
      <c r="K382" s="2" t="s">
        <v>110</v>
      </c>
    </row>
    <row r="383" spans="1:11" x14ac:dyDescent="0.25">
      <c r="A383" s="20">
        <v>41334</v>
      </c>
      <c r="B383" s="1">
        <v>0.72222222222222221</v>
      </c>
      <c r="C383" s="1">
        <v>0.76388888888888884</v>
      </c>
      <c r="E383" s="21">
        <f t="shared" si="8"/>
        <v>4.166666666666663E-2</v>
      </c>
      <c r="I383" s="9" t="s">
        <v>7</v>
      </c>
      <c r="K383" s="2" t="s">
        <v>111</v>
      </c>
    </row>
    <row r="384" spans="1:11" x14ac:dyDescent="0.25">
      <c r="E384" s="21">
        <f t="shared" si="8"/>
        <v>0</v>
      </c>
      <c r="I384" s="9"/>
    </row>
    <row r="385" spans="1:11" x14ac:dyDescent="0.25">
      <c r="A385" s="20">
        <v>41335</v>
      </c>
      <c r="B385" s="1">
        <v>0.66666666666666663</v>
      </c>
      <c r="C385" s="1">
        <v>0.75624999999999998</v>
      </c>
      <c r="D385" s="4">
        <v>2.0833333333333332E-2</v>
      </c>
      <c r="E385" s="21">
        <f t="shared" si="8"/>
        <v>7.7083333333333351E-2</v>
      </c>
      <c r="I385" s="9" t="s">
        <v>7</v>
      </c>
    </row>
    <row r="386" spans="1:11" x14ac:dyDescent="0.25">
      <c r="A386" s="20">
        <v>41335</v>
      </c>
      <c r="B386" s="1">
        <v>0.92013888888888884</v>
      </c>
      <c r="C386" s="1">
        <v>0.96736111111111101</v>
      </c>
      <c r="E386" s="21">
        <f t="shared" si="8"/>
        <v>4.7222222222222165E-2</v>
      </c>
      <c r="I386" s="9" t="s">
        <v>7</v>
      </c>
    </row>
    <row r="387" spans="1:11" x14ac:dyDescent="0.25">
      <c r="E387" s="21">
        <f t="shared" si="8"/>
        <v>0</v>
      </c>
      <c r="I387" s="9"/>
    </row>
    <row r="388" spans="1:11" x14ac:dyDescent="0.25">
      <c r="A388" s="20">
        <v>41336</v>
      </c>
      <c r="B388" s="1">
        <v>0.77361111111111114</v>
      </c>
      <c r="C388" s="1">
        <v>0.91319444444444453</v>
      </c>
      <c r="D388" s="4">
        <v>3.125E-2</v>
      </c>
      <c r="E388" s="21">
        <f t="shared" si="8"/>
        <v>0.11666666666666672</v>
      </c>
      <c r="F388" s="25">
        <f>SUM(E388:E404)</f>
        <v>0.72569444444444453</v>
      </c>
      <c r="I388" s="9" t="s">
        <v>7</v>
      </c>
    </row>
    <row r="389" spans="1:11" x14ac:dyDescent="0.25">
      <c r="A389" s="20">
        <v>41336</v>
      </c>
      <c r="B389" s="1">
        <f>C388</f>
        <v>0.91319444444444453</v>
      </c>
      <c r="C389" s="1">
        <v>0.92569444444444438</v>
      </c>
      <c r="E389" s="21">
        <f t="shared" si="8"/>
        <v>1.2499999999999845E-2</v>
      </c>
      <c r="I389" s="9" t="s">
        <v>6</v>
      </c>
      <c r="K389" s="2" t="s">
        <v>112</v>
      </c>
    </row>
    <row r="390" spans="1:11" x14ac:dyDescent="0.25">
      <c r="E390" s="21">
        <f t="shared" si="8"/>
        <v>0</v>
      </c>
      <c r="I390" s="9"/>
    </row>
    <row r="391" spans="1:11" x14ac:dyDescent="0.25">
      <c r="A391" s="20">
        <v>41337</v>
      </c>
      <c r="B391" s="1">
        <v>0.875</v>
      </c>
      <c r="C391" s="1">
        <v>0.90625</v>
      </c>
      <c r="E391" s="21">
        <f t="shared" si="8"/>
        <v>3.125E-2</v>
      </c>
      <c r="I391" s="3" t="s">
        <v>13</v>
      </c>
      <c r="K391" s="2" t="s">
        <v>113</v>
      </c>
    </row>
    <row r="392" spans="1:11" x14ac:dyDescent="0.25">
      <c r="E392" s="21">
        <f t="shared" si="8"/>
        <v>0</v>
      </c>
      <c r="I392" s="9"/>
    </row>
    <row r="393" spans="1:11" x14ac:dyDescent="0.25">
      <c r="A393" s="20">
        <v>41339</v>
      </c>
      <c r="B393" s="1">
        <v>0.875</v>
      </c>
      <c r="C393" s="1">
        <v>0.90625</v>
      </c>
      <c r="E393" s="21">
        <f t="shared" si="8"/>
        <v>3.125E-2</v>
      </c>
      <c r="I393" s="9" t="s">
        <v>7</v>
      </c>
    </row>
    <row r="394" spans="1:11" x14ac:dyDescent="0.25">
      <c r="E394" s="21">
        <f t="shared" si="8"/>
        <v>0</v>
      </c>
      <c r="I394" s="9"/>
    </row>
    <row r="395" spans="1:11" x14ac:dyDescent="0.25">
      <c r="A395" s="20">
        <v>41340</v>
      </c>
      <c r="B395" s="1">
        <v>0.76041666666666663</v>
      </c>
      <c r="C395" s="1">
        <v>0.77777777777777779</v>
      </c>
      <c r="E395" s="21">
        <f t="shared" si="8"/>
        <v>1.736111111111116E-2</v>
      </c>
      <c r="I395" s="9" t="s">
        <v>7</v>
      </c>
    </row>
    <row r="396" spans="1:11" x14ac:dyDescent="0.25">
      <c r="E396" s="21">
        <f t="shared" si="8"/>
        <v>0</v>
      </c>
      <c r="I396" s="9"/>
    </row>
    <row r="397" spans="1:11" x14ac:dyDescent="0.25">
      <c r="A397" s="20">
        <v>41341</v>
      </c>
      <c r="B397" s="1">
        <v>0.3888888888888889</v>
      </c>
      <c r="C397" s="1">
        <v>0.40277777777777773</v>
      </c>
      <c r="E397" s="21">
        <f t="shared" si="8"/>
        <v>1.388888888888884E-2</v>
      </c>
      <c r="I397" s="9" t="s">
        <v>7</v>
      </c>
    </row>
    <row r="398" spans="1:11" x14ac:dyDescent="0.25">
      <c r="A398" s="20">
        <v>41341</v>
      </c>
      <c r="B398" s="1">
        <v>0.54027777777777775</v>
      </c>
      <c r="C398" s="1">
        <v>0.66388888888888886</v>
      </c>
      <c r="D398" s="4">
        <v>1.5972222222222224E-2</v>
      </c>
      <c r="E398" s="21">
        <f t="shared" si="8"/>
        <v>0.11597222222222223</v>
      </c>
      <c r="I398" s="9" t="s">
        <v>7</v>
      </c>
    </row>
    <row r="399" spans="1:11" x14ac:dyDescent="0.25">
      <c r="A399" s="20">
        <v>41341</v>
      </c>
      <c r="B399" s="1">
        <v>0.69305555555555554</v>
      </c>
      <c r="C399" s="1">
        <v>0.82013888888888886</v>
      </c>
      <c r="E399" s="21">
        <f t="shared" si="8"/>
        <v>0.12708333333333333</v>
      </c>
      <c r="I399" s="9" t="s">
        <v>7</v>
      </c>
    </row>
    <row r="400" spans="1:11" x14ac:dyDescent="0.25">
      <c r="A400" s="20">
        <v>41341</v>
      </c>
      <c r="B400" s="1">
        <v>0.8340277777777777</v>
      </c>
      <c r="C400" s="1">
        <v>0.9472222222222223</v>
      </c>
      <c r="D400" s="4">
        <v>1.0416666666666666E-2</v>
      </c>
      <c r="E400" s="21">
        <f t="shared" si="8"/>
        <v>0.11111111111111126</v>
      </c>
      <c r="I400" s="9" t="s">
        <v>7</v>
      </c>
    </row>
    <row r="401" spans="1:11" x14ac:dyDescent="0.25">
      <c r="E401" s="21">
        <f t="shared" si="8"/>
        <v>0</v>
      </c>
      <c r="I401" s="9"/>
    </row>
    <row r="402" spans="1:11" x14ac:dyDescent="0.25">
      <c r="A402" s="20">
        <v>41342</v>
      </c>
      <c r="B402" s="1">
        <v>0.66249999999999998</v>
      </c>
      <c r="C402" s="1">
        <v>0.76527777777777783</v>
      </c>
      <c r="E402" s="21">
        <f t="shared" si="8"/>
        <v>0.10277777777777786</v>
      </c>
      <c r="I402" s="9" t="s">
        <v>7</v>
      </c>
    </row>
    <row r="403" spans="1:11" x14ac:dyDescent="0.25">
      <c r="A403" s="20">
        <v>41342</v>
      </c>
      <c r="B403" s="1">
        <v>0.80208333333333337</v>
      </c>
      <c r="C403" s="1">
        <v>0.80625000000000002</v>
      </c>
      <c r="E403" s="21">
        <f t="shared" si="8"/>
        <v>4.1666666666666519E-3</v>
      </c>
      <c r="I403" s="9" t="s">
        <v>7</v>
      </c>
    </row>
    <row r="404" spans="1:11" x14ac:dyDescent="0.25">
      <c r="A404" s="20">
        <v>41342</v>
      </c>
      <c r="B404" s="1">
        <v>0.87847222222222221</v>
      </c>
      <c r="C404" s="1">
        <v>0.92013888888888884</v>
      </c>
      <c r="E404" s="21">
        <f t="shared" si="8"/>
        <v>4.166666666666663E-2</v>
      </c>
      <c r="I404" s="9" t="s">
        <v>7</v>
      </c>
    </row>
    <row r="405" spans="1:11" x14ac:dyDescent="0.25">
      <c r="E405" s="21">
        <f t="shared" si="8"/>
        <v>0</v>
      </c>
      <c r="I405" s="9"/>
    </row>
    <row r="406" spans="1:11" x14ac:dyDescent="0.25">
      <c r="A406" s="20">
        <v>41343</v>
      </c>
      <c r="B406" s="1">
        <v>0.91249999999999998</v>
      </c>
      <c r="C406" s="1">
        <v>0.98611111111111116</v>
      </c>
      <c r="E406" s="21">
        <f t="shared" si="8"/>
        <v>7.3611111111111183E-2</v>
      </c>
      <c r="F406" s="25">
        <f>SUM(E406:E421)</f>
        <v>0.76875000000000016</v>
      </c>
      <c r="I406" s="9" t="s">
        <v>7</v>
      </c>
    </row>
    <row r="407" spans="1:11" x14ac:dyDescent="0.25">
      <c r="E407" s="21">
        <f t="shared" si="8"/>
        <v>0</v>
      </c>
      <c r="I407" s="9"/>
    </row>
    <row r="408" spans="1:11" x14ac:dyDescent="0.25">
      <c r="A408" s="20">
        <v>41344</v>
      </c>
      <c r="B408" s="1">
        <v>0.81111111111111101</v>
      </c>
      <c r="C408" s="1">
        <v>0.82013888888888886</v>
      </c>
      <c r="E408" s="21">
        <f t="shared" si="8"/>
        <v>9.0277777777778567E-3</v>
      </c>
      <c r="I408" s="9" t="s">
        <v>7</v>
      </c>
    </row>
    <row r="409" spans="1:11" x14ac:dyDescent="0.25">
      <c r="A409" s="20">
        <v>41344</v>
      </c>
      <c r="B409" s="1">
        <v>0.83611111111111114</v>
      </c>
      <c r="C409" s="1">
        <v>0.93472222222222223</v>
      </c>
      <c r="D409" s="4">
        <v>1.7361111111111112E-2</v>
      </c>
      <c r="E409" s="21">
        <f t="shared" si="8"/>
        <v>8.958333333333332E-2</v>
      </c>
      <c r="I409" s="9" t="s">
        <v>7</v>
      </c>
    </row>
    <row r="410" spans="1:11" x14ac:dyDescent="0.25">
      <c r="E410" s="21">
        <f t="shared" si="8"/>
        <v>0</v>
      </c>
      <c r="I410" s="9"/>
    </row>
    <row r="411" spans="1:11" x14ac:dyDescent="0.25">
      <c r="A411" s="20">
        <v>41345</v>
      </c>
      <c r="B411" s="1">
        <v>0.85416666666666663</v>
      </c>
      <c r="C411" s="1">
        <v>0.88541666666666663</v>
      </c>
      <c r="E411" s="21">
        <f t="shared" si="8"/>
        <v>3.125E-2</v>
      </c>
      <c r="I411" s="9" t="s">
        <v>7</v>
      </c>
    </row>
    <row r="412" spans="1:11" x14ac:dyDescent="0.25">
      <c r="E412" s="21">
        <f t="shared" si="8"/>
        <v>0</v>
      </c>
      <c r="I412" s="9"/>
    </row>
    <row r="413" spans="1:11" x14ac:dyDescent="0.25">
      <c r="A413" s="20">
        <v>41347</v>
      </c>
      <c r="B413" s="1">
        <v>0.85069444444444453</v>
      </c>
      <c r="C413" s="1">
        <v>0.92361111111111116</v>
      </c>
      <c r="E413" s="21">
        <f t="shared" si="8"/>
        <v>7.291666666666663E-2</v>
      </c>
      <c r="I413" s="9" t="s">
        <v>7</v>
      </c>
    </row>
    <row r="414" spans="1:11" x14ac:dyDescent="0.25">
      <c r="E414" s="21">
        <f t="shared" si="8"/>
        <v>0</v>
      </c>
      <c r="I414" s="9"/>
    </row>
    <row r="415" spans="1:11" x14ac:dyDescent="0.25">
      <c r="A415" s="20">
        <v>41348</v>
      </c>
      <c r="B415" s="1">
        <v>0.42152777777777778</v>
      </c>
      <c r="C415" s="1">
        <v>0.50069444444444444</v>
      </c>
      <c r="E415" s="21">
        <f t="shared" si="8"/>
        <v>7.9166666666666663E-2</v>
      </c>
      <c r="I415" s="9" t="s">
        <v>7</v>
      </c>
      <c r="K415" s="8" t="s">
        <v>114</v>
      </c>
    </row>
    <row r="416" spans="1:11" x14ac:dyDescent="0.25">
      <c r="A416" s="20">
        <v>41348</v>
      </c>
      <c r="B416" s="1">
        <v>0.51874999999999993</v>
      </c>
      <c r="C416" s="1">
        <v>0.59791666666666665</v>
      </c>
      <c r="D416" s="4">
        <v>6.9444444444444441E-3</v>
      </c>
      <c r="E416" s="21">
        <f t="shared" si="8"/>
        <v>7.9166666666666718E-2</v>
      </c>
      <c r="I416" s="9" t="s">
        <v>7</v>
      </c>
    </row>
    <row r="417" spans="1:11" x14ac:dyDescent="0.25">
      <c r="A417" s="20">
        <v>41348</v>
      </c>
      <c r="B417" s="1">
        <v>0.82013888888888886</v>
      </c>
      <c r="C417" s="1">
        <v>0.88888888888888884</v>
      </c>
      <c r="D417" s="4">
        <v>2.0833333333333332E-2</v>
      </c>
      <c r="E417" s="21">
        <f t="shared" si="8"/>
        <v>5.6249999999999981E-2</v>
      </c>
      <c r="I417" s="9" t="s">
        <v>7</v>
      </c>
    </row>
    <row r="418" spans="1:11" x14ac:dyDescent="0.25">
      <c r="A418" s="20">
        <v>41348</v>
      </c>
      <c r="B418" s="1">
        <v>0.90486111111111101</v>
      </c>
      <c r="C418" s="1">
        <v>0.99930555555555556</v>
      </c>
      <c r="E418" s="21">
        <f t="shared" si="8"/>
        <v>9.4444444444444553E-2</v>
      </c>
      <c r="I418" s="9" t="s">
        <v>7</v>
      </c>
      <c r="K418" s="8" t="s">
        <v>115</v>
      </c>
    </row>
    <row r="419" spans="1:11" x14ac:dyDescent="0.25">
      <c r="E419" s="21">
        <f t="shared" si="8"/>
        <v>0</v>
      </c>
      <c r="I419" s="9"/>
    </row>
    <row r="420" spans="1:11" x14ac:dyDescent="0.25">
      <c r="A420" s="20">
        <v>41349</v>
      </c>
      <c r="B420" s="1">
        <v>0.4694444444444445</v>
      </c>
      <c r="C420" s="1">
        <v>0.66666666666666663</v>
      </c>
      <c r="D420" s="4">
        <v>2.7777777777777776E-2</v>
      </c>
      <c r="E420" s="21">
        <f t="shared" si="8"/>
        <v>0.17777777777777767</v>
      </c>
      <c r="I420" s="9" t="s">
        <v>7</v>
      </c>
    </row>
    <row r="421" spans="1:11" x14ac:dyDescent="0.25">
      <c r="A421" s="20">
        <v>41349</v>
      </c>
      <c r="B421" s="1">
        <v>0.6972222222222223</v>
      </c>
      <c r="C421" s="1">
        <v>0.70277777777777783</v>
      </c>
      <c r="E421" s="21">
        <f t="shared" si="8"/>
        <v>5.5555555555555358E-3</v>
      </c>
      <c r="I421" s="9" t="s">
        <v>7</v>
      </c>
    </row>
    <row r="422" spans="1:11" x14ac:dyDescent="0.25">
      <c r="E422" s="21">
        <f t="shared" si="8"/>
        <v>0</v>
      </c>
      <c r="I422" s="9"/>
    </row>
    <row r="423" spans="1:11" x14ac:dyDescent="0.25">
      <c r="A423" s="20">
        <v>41350</v>
      </c>
      <c r="B423" s="1">
        <v>0.81180555555555556</v>
      </c>
      <c r="C423" s="1">
        <v>0.84097222222222223</v>
      </c>
      <c r="E423" s="21">
        <f t="shared" si="8"/>
        <v>2.9166666666666674E-2</v>
      </c>
      <c r="F423" s="25">
        <f>SUM(E423:E439)</f>
        <v>0.73750000000000027</v>
      </c>
      <c r="I423" s="9" t="s">
        <v>7</v>
      </c>
    </row>
    <row r="424" spans="1:11" x14ac:dyDescent="0.25">
      <c r="A424" s="20">
        <v>41350</v>
      </c>
      <c r="B424" s="1">
        <v>0.93055555555555547</v>
      </c>
      <c r="C424" s="1">
        <v>0.95763888888888893</v>
      </c>
      <c r="E424" s="21">
        <f t="shared" si="8"/>
        <v>2.7083333333333459E-2</v>
      </c>
      <c r="I424" s="9"/>
    </row>
    <row r="425" spans="1:11" x14ac:dyDescent="0.25">
      <c r="E425" s="21">
        <f t="shared" si="8"/>
        <v>0</v>
      </c>
      <c r="I425" s="9"/>
    </row>
    <row r="426" spans="1:11" x14ac:dyDescent="0.25">
      <c r="A426" s="20">
        <v>41353</v>
      </c>
      <c r="B426" s="1">
        <v>0.375</v>
      </c>
      <c r="C426" s="1">
        <v>0.3888888888888889</v>
      </c>
      <c r="E426" s="21">
        <f t="shared" si="8"/>
        <v>1.3888888888888895E-2</v>
      </c>
      <c r="I426" s="9" t="s">
        <v>6</v>
      </c>
    </row>
    <row r="427" spans="1:11" x14ac:dyDescent="0.25">
      <c r="A427" s="20">
        <v>41353</v>
      </c>
      <c r="B427" s="1">
        <v>0.48958333333333331</v>
      </c>
      <c r="C427" s="1">
        <v>0.53125</v>
      </c>
      <c r="E427" s="21">
        <f t="shared" si="8"/>
        <v>4.1666666666666685E-2</v>
      </c>
      <c r="I427" s="3" t="s">
        <v>75</v>
      </c>
      <c r="K427" s="2" t="s">
        <v>116</v>
      </c>
    </row>
    <row r="428" spans="1:11" x14ac:dyDescent="0.25">
      <c r="E428" s="21">
        <f t="shared" si="8"/>
        <v>0</v>
      </c>
      <c r="I428" s="9"/>
    </row>
    <row r="429" spans="1:11" x14ac:dyDescent="0.25">
      <c r="A429" s="20">
        <v>41354</v>
      </c>
      <c r="B429" s="1">
        <v>0.875</v>
      </c>
      <c r="C429" s="1">
        <v>0.88888888888888884</v>
      </c>
      <c r="E429" s="21">
        <f t="shared" si="8"/>
        <v>1.388888888888884E-2</v>
      </c>
      <c r="I429" s="9" t="s">
        <v>7</v>
      </c>
    </row>
    <row r="430" spans="1:11" x14ac:dyDescent="0.25">
      <c r="E430" s="21">
        <f t="shared" si="8"/>
        <v>0</v>
      </c>
      <c r="I430" s="9"/>
    </row>
    <row r="431" spans="1:11" x14ac:dyDescent="0.25">
      <c r="A431" s="20">
        <v>41355</v>
      </c>
      <c r="B431" s="1">
        <v>0.40902777777777777</v>
      </c>
      <c r="C431" s="1">
        <v>0.50138888888888888</v>
      </c>
      <c r="E431" s="21">
        <f t="shared" si="8"/>
        <v>9.2361111111111116E-2</v>
      </c>
      <c r="I431" s="9" t="s">
        <v>7</v>
      </c>
    </row>
    <row r="432" spans="1:11" x14ac:dyDescent="0.25">
      <c r="A432" s="20">
        <v>41355</v>
      </c>
      <c r="B432" s="1">
        <f>C431</f>
        <v>0.50138888888888888</v>
      </c>
      <c r="C432" s="1">
        <v>0.51041666666666663</v>
      </c>
      <c r="E432" s="21">
        <f t="shared" si="8"/>
        <v>9.0277777777777457E-3</v>
      </c>
      <c r="I432" s="9" t="s">
        <v>6</v>
      </c>
    </row>
    <row r="433" spans="1:9" x14ac:dyDescent="0.25">
      <c r="A433" s="20">
        <v>41355</v>
      </c>
      <c r="B433" s="1">
        <v>0.54166666666666663</v>
      </c>
      <c r="C433" s="1">
        <v>0.70624999999999993</v>
      </c>
      <c r="D433" s="4">
        <v>1.9444444444444445E-2</v>
      </c>
      <c r="E433" s="21">
        <f t="shared" si="8"/>
        <v>0.1534722222222222</v>
      </c>
      <c r="I433" s="9" t="s">
        <v>7</v>
      </c>
    </row>
    <row r="434" spans="1:9" x14ac:dyDescent="0.25">
      <c r="A434" s="20">
        <v>41355</v>
      </c>
      <c r="B434" s="1">
        <v>0.78611111111111109</v>
      </c>
      <c r="C434" s="1">
        <v>0.85486111111111107</v>
      </c>
      <c r="D434" s="4">
        <v>1.0416666666666666E-2</v>
      </c>
      <c r="E434" s="21">
        <f t="shared" si="8"/>
        <v>6.6666666666666652E-2</v>
      </c>
      <c r="I434" s="9" t="s">
        <v>7</v>
      </c>
    </row>
    <row r="435" spans="1:9" x14ac:dyDescent="0.25">
      <c r="A435" s="20">
        <v>41355</v>
      </c>
      <c r="B435" s="1">
        <v>0.87013888888888891</v>
      </c>
      <c r="C435" s="1">
        <v>0.94027777777777777</v>
      </c>
      <c r="D435" s="4">
        <v>2.7777777777777779E-3</v>
      </c>
      <c r="E435" s="21">
        <f t="shared" si="8"/>
        <v>7.0138888888888862E-2</v>
      </c>
      <c r="I435" s="9" t="s">
        <v>7</v>
      </c>
    </row>
    <row r="436" spans="1:9" x14ac:dyDescent="0.25">
      <c r="E436" s="21">
        <f t="shared" si="8"/>
        <v>0</v>
      </c>
      <c r="I436" s="9"/>
    </row>
    <row r="437" spans="1:9" x14ac:dyDescent="0.25">
      <c r="A437" s="20">
        <v>41356</v>
      </c>
      <c r="B437" s="1">
        <v>0.44444444444444442</v>
      </c>
      <c r="C437" s="1">
        <v>0.48472222222222222</v>
      </c>
      <c r="E437" s="21">
        <f t="shared" si="8"/>
        <v>4.0277777777777801E-2</v>
      </c>
      <c r="I437" s="9" t="s">
        <v>7</v>
      </c>
    </row>
    <row r="438" spans="1:9" x14ac:dyDescent="0.25">
      <c r="A438" s="20">
        <v>41356</v>
      </c>
      <c r="B438" s="1">
        <v>0.59375</v>
      </c>
      <c r="C438" s="1">
        <v>0.69930555555555562</v>
      </c>
      <c r="D438" s="4">
        <v>1.1805555555555555E-2</v>
      </c>
      <c r="E438" s="21">
        <f t="shared" si="8"/>
        <v>0.1020833333333334</v>
      </c>
      <c r="I438" s="9" t="s">
        <v>7</v>
      </c>
    </row>
    <row r="439" spans="1:9" x14ac:dyDescent="0.25">
      <c r="A439" s="20">
        <v>41356</v>
      </c>
      <c r="B439" s="1">
        <v>0.72916666666666663</v>
      </c>
      <c r="C439" s="1">
        <v>0.80694444444444446</v>
      </c>
      <c r="E439" s="21">
        <f t="shared" si="8"/>
        <v>7.7777777777777835E-2</v>
      </c>
      <c r="I439" s="9" t="s">
        <v>7</v>
      </c>
    </row>
    <row r="440" spans="1:9" x14ac:dyDescent="0.25">
      <c r="E440" s="21">
        <f t="shared" si="8"/>
        <v>0</v>
      </c>
      <c r="I440" s="9"/>
    </row>
    <row r="441" spans="1:9" x14ac:dyDescent="0.25">
      <c r="A441" s="20">
        <v>41357</v>
      </c>
      <c r="B441" s="1">
        <v>0.88055555555555554</v>
      </c>
      <c r="C441" s="1">
        <v>0.90694444444444444</v>
      </c>
      <c r="E441" s="21">
        <f t="shared" si="8"/>
        <v>2.6388888888888906E-2</v>
      </c>
      <c r="F441" s="25">
        <f>SUM(E441:E451)</f>
        <v>0.38611111111111102</v>
      </c>
      <c r="I441" s="9" t="s">
        <v>7</v>
      </c>
    </row>
    <row r="442" spans="1:9" x14ac:dyDescent="0.25">
      <c r="E442" s="21">
        <f t="shared" si="8"/>
        <v>0</v>
      </c>
      <c r="I442" s="9"/>
    </row>
    <row r="443" spans="1:9" x14ac:dyDescent="0.25">
      <c r="A443" s="20">
        <v>41358</v>
      </c>
      <c r="B443" s="1">
        <v>0.84375</v>
      </c>
      <c r="C443" s="1">
        <v>0.86111111111111116</v>
      </c>
      <c r="E443" s="21">
        <f t="shared" si="8"/>
        <v>1.736111111111116E-2</v>
      </c>
      <c r="I443" s="9" t="s">
        <v>6</v>
      </c>
    </row>
    <row r="444" spans="1:9" x14ac:dyDescent="0.25">
      <c r="A444" s="20">
        <v>41358</v>
      </c>
      <c r="B444" s="1">
        <f>C443</f>
        <v>0.86111111111111116</v>
      </c>
      <c r="C444" s="1">
        <v>0.93055555555555547</v>
      </c>
      <c r="D444" s="4">
        <v>2.7777777777777779E-3</v>
      </c>
      <c r="E444" s="21">
        <f t="shared" si="8"/>
        <v>6.9444444444444309E-2</v>
      </c>
      <c r="I444" s="9" t="s">
        <v>7</v>
      </c>
    </row>
    <row r="445" spans="1:9" x14ac:dyDescent="0.25">
      <c r="E445" s="21">
        <f t="shared" si="8"/>
        <v>0</v>
      </c>
      <c r="I445" s="9"/>
    </row>
    <row r="446" spans="1:9" x14ac:dyDescent="0.25">
      <c r="A446" s="20">
        <v>41361</v>
      </c>
      <c r="B446" s="1">
        <v>0.40972222222222227</v>
      </c>
      <c r="C446" s="1">
        <v>0.46597222222222223</v>
      </c>
      <c r="E446" s="21">
        <f t="shared" si="8"/>
        <v>5.6249999999999967E-2</v>
      </c>
      <c r="I446" s="9" t="s">
        <v>7</v>
      </c>
    </row>
    <row r="447" spans="1:9" x14ac:dyDescent="0.25">
      <c r="A447" s="20">
        <v>41361</v>
      </c>
      <c r="B447" s="1">
        <v>0.77361111111111114</v>
      </c>
      <c r="C447" s="1">
        <v>0.83333333333333337</v>
      </c>
      <c r="E447" s="21">
        <f t="shared" si="8"/>
        <v>5.9722222222222232E-2</v>
      </c>
      <c r="I447" s="9" t="s">
        <v>7</v>
      </c>
    </row>
    <row r="448" spans="1:9" x14ac:dyDescent="0.25">
      <c r="A448" s="20">
        <v>41361</v>
      </c>
      <c r="B448" s="1">
        <v>0.85277777777777775</v>
      </c>
      <c r="C448" s="1">
        <v>0.92291666666666661</v>
      </c>
      <c r="E448" s="21">
        <f t="shared" si="8"/>
        <v>7.0138888888888862E-2</v>
      </c>
      <c r="I448" s="9" t="s">
        <v>7</v>
      </c>
    </row>
    <row r="449" spans="1:9" x14ac:dyDescent="0.25">
      <c r="E449" s="21">
        <f t="shared" si="8"/>
        <v>0</v>
      </c>
      <c r="I449" s="9"/>
    </row>
    <row r="450" spans="1:9" x14ac:dyDescent="0.25">
      <c r="A450" s="20">
        <v>41363</v>
      </c>
      <c r="B450" s="1">
        <v>0.63263888888888886</v>
      </c>
      <c r="C450" s="1">
        <v>0.6958333333333333</v>
      </c>
      <c r="E450" s="21">
        <f t="shared" si="8"/>
        <v>6.3194444444444442E-2</v>
      </c>
      <c r="I450" s="9" t="s">
        <v>7</v>
      </c>
    </row>
    <row r="451" spans="1:9" x14ac:dyDescent="0.25">
      <c r="A451" s="20">
        <v>41363</v>
      </c>
      <c r="B451" s="1">
        <v>0.79166666666666663</v>
      </c>
      <c r="C451" s="1">
        <v>0.81527777777777777</v>
      </c>
      <c r="E451" s="21">
        <f t="shared" si="8"/>
        <v>2.3611111111111138E-2</v>
      </c>
      <c r="I451" s="9" t="s">
        <v>7</v>
      </c>
    </row>
    <row r="452" spans="1:9" x14ac:dyDescent="0.25">
      <c r="E452" s="21">
        <f t="shared" si="8"/>
        <v>0</v>
      </c>
      <c r="I452" s="9"/>
    </row>
    <row r="453" spans="1:9" x14ac:dyDescent="0.25">
      <c r="A453" s="20">
        <v>41369</v>
      </c>
      <c r="B453" s="1">
        <v>0.5</v>
      </c>
      <c r="C453" s="1">
        <v>0.56597222222222221</v>
      </c>
      <c r="E453" s="21">
        <f t="shared" si="8"/>
        <v>6.597222222222221E-2</v>
      </c>
      <c r="F453" s="25">
        <f>SUM(E453:E458)</f>
        <v>0.33472222222222203</v>
      </c>
      <c r="I453" s="9" t="s">
        <v>7</v>
      </c>
    </row>
    <row r="454" spans="1:9" x14ac:dyDescent="0.25">
      <c r="A454" s="20">
        <v>41370</v>
      </c>
      <c r="B454" s="1">
        <v>0.91666666666666663</v>
      </c>
      <c r="C454" s="1">
        <v>0.95833333333333337</v>
      </c>
      <c r="E454" s="21">
        <f t="shared" si="8"/>
        <v>4.1666666666666741E-2</v>
      </c>
      <c r="I454" s="9" t="s">
        <v>117</v>
      </c>
    </row>
    <row r="455" spans="1:9" x14ac:dyDescent="0.25">
      <c r="E455" s="21">
        <f t="shared" si="8"/>
        <v>0</v>
      </c>
      <c r="I455" s="9"/>
    </row>
    <row r="456" spans="1:9" x14ac:dyDescent="0.25">
      <c r="A456" s="20">
        <v>41370</v>
      </c>
      <c r="B456" s="1">
        <v>0.46319444444444446</v>
      </c>
      <c r="C456" s="1">
        <v>0.50138888888888888</v>
      </c>
      <c r="E456" s="21">
        <f t="shared" si="8"/>
        <v>3.819444444444442E-2</v>
      </c>
      <c r="I456" s="9" t="s">
        <v>117</v>
      </c>
    </row>
    <row r="457" spans="1:9" x14ac:dyDescent="0.25">
      <c r="A457" s="20">
        <v>41370</v>
      </c>
      <c r="B457" s="1">
        <v>0.60625000000000007</v>
      </c>
      <c r="C457" s="1">
        <v>0.78680555555555554</v>
      </c>
      <c r="D457" s="4">
        <v>2.7777777777777776E-2</v>
      </c>
      <c r="E457" s="21">
        <f t="shared" si="8"/>
        <v>0.16111111111111101</v>
      </c>
      <c r="I457" s="9" t="s">
        <v>7</v>
      </c>
    </row>
    <row r="458" spans="1:9" x14ac:dyDescent="0.25">
      <c r="A458" s="20">
        <v>41370</v>
      </c>
      <c r="B458" s="1">
        <v>0.80138888888888893</v>
      </c>
      <c r="C458" s="1">
        <v>0.82916666666666661</v>
      </c>
      <c r="E458" s="21">
        <f t="shared" si="8"/>
        <v>2.7777777777777679E-2</v>
      </c>
      <c r="I458" s="9" t="s">
        <v>7</v>
      </c>
    </row>
    <row r="459" spans="1:9" x14ac:dyDescent="0.25">
      <c r="A459" s="20">
        <v>41370</v>
      </c>
      <c r="B459" s="1">
        <v>0.93402777777777779</v>
      </c>
      <c r="C459" s="1">
        <v>0.94930555555555562</v>
      </c>
      <c r="E459" s="21">
        <f t="shared" si="8"/>
        <v>1.5277777777777835E-2</v>
      </c>
      <c r="I459" s="9" t="s">
        <v>7</v>
      </c>
    </row>
    <row r="460" spans="1:9" x14ac:dyDescent="0.25">
      <c r="E460" s="21">
        <f t="shared" si="8"/>
        <v>0</v>
      </c>
      <c r="I460" s="9"/>
    </row>
    <row r="461" spans="1:9" x14ac:dyDescent="0.25">
      <c r="A461" s="20">
        <v>41376</v>
      </c>
      <c r="B461" s="1">
        <v>0.48125000000000001</v>
      </c>
      <c r="C461" s="1">
        <v>0.52708333333333335</v>
      </c>
      <c r="E461" s="21">
        <f t="shared" ref="E461:E532" si="9">IF(D461&lt;(12/1440),C461-B461,C461-B461-D461+(12/1440))</f>
        <v>4.5833333333333337E-2</v>
      </c>
      <c r="F461" s="25">
        <f>SUM(E461:E467)</f>
        <v>0.59791666666666665</v>
      </c>
      <c r="I461" s="9" t="s">
        <v>7</v>
      </c>
    </row>
    <row r="462" spans="1:9" x14ac:dyDescent="0.25">
      <c r="A462" s="20">
        <v>41376</v>
      </c>
      <c r="B462" s="1">
        <v>0.59375</v>
      </c>
      <c r="C462" s="1">
        <v>0.75</v>
      </c>
      <c r="D462" s="4">
        <v>7.6388888888888886E-3</v>
      </c>
      <c r="E462" s="21">
        <f t="shared" si="9"/>
        <v>0.15625</v>
      </c>
      <c r="I462" s="9" t="s">
        <v>7</v>
      </c>
    </row>
    <row r="463" spans="1:9" x14ac:dyDescent="0.25">
      <c r="E463" s="21">
        <f t="shared" si="9"/>
        <v>0</v>
      </c>
      <c r="I463" s="9"/>
    </row>
    <row r="464" spans="1:9" x14ac:dyDescent="0.25">
      <c r="A464" s="20">
        <v>41377</v>
      </c>
      <c r="B464" s="1">
        <v>0.45277777777777778</v>
      </c>
      <c r="C464" s="1">
        <v>0.58194444444444449</v>
      </c>
      <c r="D464" s="4">
        <v>1.7361111111111112E-2</v>
      </c>
      <c r="E464" s="21">
        <f t="shared" si="9"/>
        <v>0.12013888888888893</v>
      </c>
      <c r="I464" s="9" t="s">
        <v>7</v>
      </c>
    </row>
    <row r="465" spans="1:9" x14ac:dyDescent="0.25">
      <c r="A465" s="20">
        <v>41377</v>
      </c>
      <c r="B465" s="1">
        <v>0.59513888888888888</v>
      </c>
      <c r="C465" s="1">
        <v>0.8027777777777777</v>
      </c>
      <c r="D465" s="4">
        <v>1.1805555555555555E-2</v>
      </c>
      <c r="E465" s="21">
        <f t="shared" si="9"/>
        <v>0.20416666666666658</v>
      </c>
      <c r="I465" s="9" t="s">
        <v>7</v>
      </c>
    </row>
    <row r="466" spans="1:9" x14ac:dyDescent="0.25">
      <c r="A466" s="20">
        <v>41377</v>
      </c>
      <c r="B466" s="1">
        <v>0.81736111111111109</v>
      </c>
      <c r="C466" s="1">
        <v>0.84166666666666667</v>
      </c>
      <c r="E466" s="21">
        <f t="shared" si="9"/>
        <v>2.430555555555558E-2</v>
      </c>
      <c r="I466" s="9" t="s">
        <v>7</v>
      </c>
    </row>
    <row r="467" spans="1:9" x14ac:dyDescent="0.25">
      <c r="A467" s="20">
        <v>41377</v>
      </c>
      <c r="B467" s="1">
        <v>0.9375</v>
      </c>
      <c r="C467" s="1">
        <v>0.98472222222222217</v>
      </c>
      <c r="E467" s="21">
        <f t="shared" si="9"/>
        <v>4.7222222222222165E-2</v>
      </c>
      <c r="I467" s="9" t="s">
        <v>7</v>
      </c>
    </row>
    <row r="468" spans="1:9" x14ac:dyDescent="0.25">
      <c r="E468" s="21">
        <f t="shared" si="9"/>
        <v>0</v>
      </c>
      <c r="I468" s="9"/>
    </row>
    <row r="469" spans="1:9" x14ac:dyDescent="0.25">
      <c r="A469" s="20">
        <f>A467+8</f>
        <v>41385</v>
      </c>
      <c r="B469" s="1">
        <v>0</v>
      </c>
      <c r="C469" s="1">
        <v>0</v>
      </c>
      <c r="E469" s="21">
        <f t="shared" si="9"/>
        <v>0</v>
      </c>
      <c r="F469" s="25">
        <f>SUM(E469:E470)</f>
        <v>0</v>
      </c>
      <c r="I469" s="9" t="s">
        <v>7</v>
      </c>
    </row>
    <row r="470" spans="1:9" x14ac:dyDescent="0.25">
      <c r="E470" s="21">
        <f t="shared" si="9"/>
        <v>0</v>
      </c>
      <c r="I470" s="9"/>
    </row>
    <row r="471" spans="1:9" x14ac:dyDescent="0.25">
      <c r="A471" s="20">
        <v>41390</v>
      </c>
      <c r="B471" s="1">
        <v>0.68402777777777779</v>
      </c>
      <c r="C471" s="1">
        <v>0.74652777777777779</v>
      </c>
      <c r="E471" s="21">
        <f>IF(D471&lt;(12/1440),C471-B471,C471-B471-D471+(12/1440))</f>
        <v>6.25E-2</v>
      </c>
      <c r="F471" s="25">
        <f>SUM(E471:E475)</f>
        <v>0.15486111111111101</v>
      </c>
      <c r="I471" s="9" t="s">
        <v>7</v>
      </c>
    </row>
    <row r="472" spans="1:9" x14ac:dyDescent="0.25">
      <c r="I472" s="9"/>
    </row>
    <row r="473" spans="1:9" x14ac:dyDescent="0.25">
      <c r="A473" s="20">
        <v>41391</v>
      </c>
      <c r="B473" s="1">
        <v>0.53333333333333333</v>
      </c>
      <c r="C473" s="1">
        <v>0.59097222222222223</v>
      </c>
      <c r="E473" s="21">
        <f t="shared" si="9"/>
        <v>5.7638888888888906E-2</v>
      </c>
      <c r="I473" s="9" t="s">
        <v>7</v>
      </c>
    </row>
    <row r="474" spans="1:9" x14ac:dyDescent="0.25">
      <c r="A474" s="20">
        <v>41391</v>
      </c>
      <c r="B474" s="1">
        <v>0.6972222222222223</v>
      </c>
      <c r="C474" s="1">
        <v>0.7319444444444444</v>
      </c>
      <c r="E474" s="21">
        <f t="shared" si="9"/>
        <v>3.4722222222222099E-2</v>
      </c>
      <c r="I474" s="9" t="s">
        <v>7</v>
      </c>
    </row>
    <row r="475" spans="1:9" x14ac:dyDescent="0.25">
      <c r="E475" s="21">
        <f t="shared" si="9"/>
        <v>0</v>
      </c>
      <c r="I475" s="9"/>
    </row>
    <row r="476" spans="1:9" x14ac:dyDescent="0.25">
      <c r="A476" s="20">
        <v>41393</v>
      </c>
      <c r="B476" s="1">
        <v>0.85416666666666663</v>
      </c>
      <c r="C476" s="1">
        <v>0.86388888888888893</v>
      </c>
      <c r="E476" s="21">
        <f t="shared" si="9"/>
        <v>9.7222222222222987E-3</v>
      </c>
      <c r="F476" s="25">
        <f>SUM(E476:E483)</f>
        <v>0.22569444444444459</v>
      </c>
      <c r="I476" s="9" t="s">
        <v>7</v>
      </c>
    </row>
    <row r="477" spans="1:9" x14ac:dyDescent="0.25">
      <c r="E477" s="21">
        <f t="shared" si="9"/>
        <v>0</v>
      </c>
      <c r="I477" s="9"/>
    </row>
    <row r="478" spans="1:9" x14ac:dyDescent="0.25">
      <c r="A478" s="20">
        <v>41396</v>
      </c>
      <c r="B478" s="1">
        <v>0.89930555555555547</v>
      </c>
      <c r="C478" s="1">
        <v>0.9506944444444444</v>
      </c>
      <c r="E478" s="21">
        <f t="shared" si="9"/>
        <v>5.1388888888888928E-2</v>
      </c>
      <c r="I478" s="9" t="s">
        <v>7</v>
      </c>
    </row>
    <row r="479" spans="1:9" x14ac:dyDescent="0.25">
      <c r="E479" s="21">
        <f t="shared" si="9"/>
        <v>0</v>
      </c>
      <c r="I479" s="9"/>
    </row>
    <row r="480" spans="1:9" x14ac:dyDescent="0.25">
      <c r="A480" s="20">
        <v>41397</v>
      </c>
      <c r="B480" s="1">
        <v>0.49652777777777773</v>
      </c>
      <c r="C480" s="1">
        <v>0.52777777777777779</v>
      </c>
      <c r="E480" s="21">
        <f t="shared" si="9"/>
        <v>3.1250000000000056E-2</v>
      </c>
      <c r="I480" s="9" t="s">
        <v>7</v>
      </c>
    </row>
    <row r="481" spans="1:9" x14ac:dyDescent="0.25">
      <c r="E481" s="21">
        <f t="shared" si="9"/>
        <v>0</v>
      </c>
      <c r="I481" s="9"/>
    </row>
    <row r="482" spans="1:9" x14ac:dyDescent="0.25">
      <c r="A482" s="20">
        <v>41398</v>
      </c>
      <c r="B482" s="1">
        <v>0.50555555555555554</v>
      </c>
      <c r="C482" s="1">
        <v>0.54166666666666663</v>
      </c>
      <c r="E482" s="21">
        <f t="shared" si="9"/>
        <v>3.6111111111111094E-2</v>
      </c>
      <c r="I482" s="9" t="s">
        <v>7</v>
      </c>
    </row>
    <row r="483" spans="1:9" x14ac:dyDescent="0.25">
      <c r="A483" s="20">
        <v>41398</v>
      </c>
      <c r="B483" s="1">
        <v>0.85416666666666663</v>
      </c>
      <c r="C483" s="1">
        <v>0.95138888888888884</v>
      </c>
      <c r="E483" s="21">
        <f t="shared" si="9"/>
        <v>9.722222222222221E-2</v>
      </c>
      <c r="I483" s="9" t="s">
        <v>7</v>
      </c>
    </row>
    <row r="484" spans="1:9" x14ac:dyDescent="0.25">
      <c r="E484" s="21">
        <f t="shared" si="9"/>
        <v>0</v>
      </c>
      <c r="I484" s="9"/>
    </row>
    <row r="485" spans="1:9" x14ac:dyDescent="0.25">
      <c r="A485" s="20">
        <v>41399</v>
      </c>
      <c r="B485" s="1">
        <v>0.875</v>
      </c>
      <c r="C485" s="1">
        <v>0.90763888888888899</v>
      </c>
      <c r="E485" s="21">
        <f t="shared" si="9"/>
        <v>3.2638888888888995E-2</v>
      </c>
      <c r="F485" s="25">
        <f>SUM(E485:E486)</f>
        <v>3.2638888888888995E-2</v>
      </c>
      <c r="I485" s="9" t="s">
        <v>7</v>
      </c>
    </row>
    <row r="486" spans="1:9" x14ac:dyDescent="0.25">
      <c r="E486" s="21">
        <f t="shared" si="9"/>
        <v>0</v>
      </c>
      <c r="I486" s="9"/>
    </row>
    <row r="487" spans="1:9" x14ac:dyDescent="0.25">
      <c r="A487" s="20">
        <v>41408</v>
      </c>
      <c r="B487" s="1">
        <v>0.33333333333333331</v>
      </c>
      <c r="C487" s="1">
        <v>0.5</v>
      </c>
      <c r="E487" s="21">
        <f t="shared" si="9"/>
        <v>0.16666666666666669</v>
      </c>
      <c r="F487" s="25">
        <f>SUM(E487:E492)</f>
        <v>0.81250000000000011</v>
      </c>
      <c r="I487" s="9" t="s">
        <v>118</v>
      </c>
    </row>
    <row r="488" spans="1:9" x14ac:dyDescent="0.25">
      <c r="A488" s="20">
        <v>41408</v>
      </c>
      <c r="B488" s="1">
        <v>0.5</v>
      </c>
      <c r="C488" s="1">
        <v>0.73958333333333337</v>
      </c>
      <c r="E488" s="21">
        <f t="shared" si="9"/>
        <v>0.23958333333333337</v>
      </c>
      <c r="I488" s="9" t="s">
        <v>118</v>
      </c>
    </row>
    <row r="489" spans="1:9" x14ac:dyDescent="0.25">
      <c r="E489" s="21">
        <f t="shared" si="9"/>
        <v>0</v>
      </c>
      <c r="I489" s="9"/>
    </row>
    <row r="490" spans="1:9" x14ac:dyDescent="0.25">
      <c r="A490" s="20">
        <v>41409</v>
      </c>
      <c r="B490" s="1">
        <v>0.33333333333333331</v>
      </c>
      <c r="C490" s="1">
        <v>0.5</v>
      </c>
      <c r="E490" s="21">
        <f>IF(D490&lt;(12/1440),C490-B490,C490-B490-D490+(12/1440))</f>
        <v>0.16666666666666669</v>
      </c>
      <c r="I490" s="9" t="s">
        <v>118</v>
      </c>
    </row>
    <row r="491" spans="1:9" x14ac:dyDescent="0.25">
      <c r="A491" s="20">
        <v>41409</v>
      </c>
      <c r="B491" s="1">
        <v>0.5</v>
      </c>
      <c r="C491" s="1">
        <v>0.73958333333333337</v>
      </c>
      <c r="E491" s="21">
        <f>IF(D491&lt;(12/1440),C491-B491,C491-B491-D491+(12/1440))</f>
        <v>0.23958333333333337</v>
      </c>
      <c r="I491" s="9" t="s">
        <v>118</v>
      </c>
    </row>
    <row r="492" spans="1:9" x14ac:dyDescent="0.25">
      <c r="E492" s="21">
        <f t="shared" si="9"/>
        <v>0</v>
      </c>
      <c r="I492" s="9"/>
    </row>
    <row r="493" spans="1:9" x14ac:dyDescent="0.25">
      <c r="A493" s="20">
        <v>41413</v>
      </c>
      <c r="B493" s="1">
        <v>0.82986111111111116</v>
      </c>
      <c r="C493" s="1">
        <v>0.9</v>
      </c>
      <c r="E493" s="21">
        <f t="shared" si="9"/>
        <v>7.0138888888888862E-2</v>
      </c>
      <c r="F493" s="25">
        <f>SUM(E493:E503)</f>
        <v>0.43541666666666679</v>
      </c>
      <c r="I493" s="9" t="s">
        <v>7</v>
      </c>
    </row>
    <row r="494" spans="1:9" x14ac:dyDescent="0.25">
      <c r="E494" s="21">
        <f t="shared" si="9"/>
        <v>0</v>
      </c>
      <c r="I494" s="9"/>
    </row>
    <row r="495" spans="1:9" x14ac:dyDescent="0.25">
      <c r="A495" s="20">
        <v>41414</v>
      </c>
      <c r="B495" s="1">
        <v>0.83333333333333337</v>
      </c>
      <c r="C495" s="1">
        <v>0.89583333333333337</v>
      </c>
      <c r="E495" s="21">
        <f t="shared" si="9"/>
        <v>6.25E-2</v>
      </c>
      <c r="I495" s="9" t="s">
        <v>7</v>
      </c>
    </row>
    <row r="496" spans="1:9" x14ac:dyDescent="0.25">
      <c r="E496" s="21">
        <f t="shared" si="9"/>
        <v>0</v>
      </c>
      <c r="I496" s="9"/>
    </row>
    <row r="497" spans="1:9" x14ac:dyDescent="0.25">
      <c r="A497" s="20">
        <v>41418</v>
      </c>
      <c r="B497" s="1">
        <v>0.52013888888888882</v>
      </c>
      <c r="C497" s="1">
        <v>0.7006944444444444</v>
      </c>
      <c r="D497" s="4">
        <v>6.3888888888888884E-2</v>
      </c>
      <c r="E497" s="21">
        <f t="shared" si="9"/>
        <v>0.12500000000000003</v>
      </c>
      <c r="I497" s="9" t="s">
        <v>7</v>
      </c>
    </row>
    <row r="498" spans="1:9" x14ac:dyDescent="0.25">
      <c r="A498" s="20">
        <v>41418</v>
      </c>
      <c r="B498" s="1">
        <v>0.78055555555555556</v>
      </c>
      <c r="C498" s="1">
        <v>0.81944444444444453</v>
      </c>
      <c r="E498" s="21">
        <f t="shared" si="9"/>
        <v>3.8888888888888973E-2</v>
      </c>
      <c r="I498" s="9" t="s">
        <v>7</v>
      </c>
    </row>
    <row r="499" spans="1:9" x14ac:dyDescent="0.25">
      <c r="A499" s="20">
        <v>41418</v>
      </c>
      <c r="B499" s="1">
        <v>0.8354166666666667</v>
      </c>
      <c r="C499" s="1">
        <v>0.84583333333333333</v>
      </c>
      <c r="E499" s="21">
        <f t="shared" si="9"/>
        <v>1.041666666666663E-2</v>
      </c>
      <c r="I499" s="9" t="s">
        <v>7</v>
      </c>
    </row>
    <row r="500" spans="1:9" x14ac:dyDescent="0.25">
      <c r="A500" s="20">
        <v>41418</v>
      </c>
      <c r="B500" s="1">
        <v>0.87291666666666667</v>
      </c>
      <c r="C500" s="1">
        <v>0.88680555555555562</v>
      </c>
      <c r="E500" s="21">
        <f t="shared" si="9"/>
        <v>1.3888888888888951E-2</v>
      </c>
      <c r="I500" s="9" t="s">
        <v>7</v>
      </c>
    </row>
    <row r="501" spans="1:9" x14ac:dyDescent="0.25">
      <c r="A501" s="20">
        <v>41418</v>
      </c>
      <c r="B501" s="1">
        <v>0.90833333333333333</v>
      </c>
      <c r="C501" s="1">
        <v>0.94930555555555562</v>
      </c>
      <c r="E501" s="21">
        <f t="shared" si="9"/>
        <v>4.0972222222222299E-2</v>
      </c>
      <c r="I501" s="9" t="s">
        <v>7</v>
      </c>
    </row>
    <row r="502" spans="1:9" x14ac:dyDescent="0.25">
      <c r="E502" s="21">
        <f t="shared" si="9"/>
        <v>0</v>
      </c>
      <c r="I502" s="9"/>
    </row>
    <row r="503" spans="1:9" x14ac:dyDescent="0.25">
      <c r="A503" s="20">
        <v>41419</v>
      </c>
      <c r="B503" s="1">
        <v>0.50347222222222221</v>
      </c>
      <c r="C503" s="1">
        <v>0.57708333333333328</v>
      </c>
      <c r="E503" s="21">
        <f t="shared" si="9"/>
        <v>7.3611111111111072E-2</v>
      </c>
      <c r="I503" s="9" t="s">
        <v>7</v>
      </c>
    </row>
    <row r="504" spans="1:9" x14ac:dyDescent="0.25">
      <c r="E504" s="21">
        <f t="shared" si="9"/>
        <v>0</v>
      </c>
      <c r="I504" s="9"/>
    </row>
    <row r="505" spans="1:9" x14ac:dyDescent="0.25">
      <c r="A505" s="20">
        <v>41421</v>
      </c>
      <c r="B505" s="1">
        <v>0.54166666666666663</v>
      </c>
      <c r="C505" s="1">
        <v>0.58194444444444449</v>
      </c>
      <c r="E505" s="21">
        <f>IF(D505&lt;(12/1440),C505-B505,C505-B505-D505+(12/1440))</f>
        <v>4.0277777777777857E-2</v>
      </c>
      <c r="F505" s="25">
        <f>SUM(E505:E515)</f>
        <v>0.38888888888888845</v>
      </c>
      <c r="I505" s="9" t="s">
        <v>7</v>
      </c>
    </row>
    <row r="506" spans="1:9" x14ac:dyDescent="0.25">
      <c r="A506" s="20">
        <v>41421</v>
      </c>
      <c r="B506" s="1">
        <v>0.69861111111111107</v>
      </c>
      <c r="C506" s="1">
        <v>0.73819444444444438</v>
      </c>
      <c r="E506" s="21">
        <f>IF(D506&lt;(12/1440),C506-B506,C506-B506-D506+(12/1440))</f>
        <v>3.9583333333333304E-2</v>
      </c>
      <c r="I506" s="9" t="s">
        <v>7</v>
      </c>
    </row>
    <row r="507" spans="1:9" x14ac:dyDescent="0.25">
      <c r="A507" s="20">
        <v>41421</v>
      </c>
      <c r="B507" s="1">
        <v>0.76180555555555562</v>
      </c>
      <c r="C507" s="1">
        <v>0.77986111111111101</v>
      </c>
      <c r="E507" s="21">
        <f t="shared" si="9"/>
        <v>1.805555555555538E-2</v>
      </c>
      <c r="I507" s="9" t="s">
        <v>7</v>
      </c>
    </row>
    <row r="508" spans="1:9" x14ac:dyDescent="0.25">
      <c r="A508" s="20">
        <v>41421</v>
      </c>
      <c r="B508" s="1">
        <v>0.92361111111111116</v>
      </c>
      <c r="C508" s="1">
        <v>0.95347222222222217</v>
      </c>
      <c r="E508" s="21">
        <f t="shared" si="9"/>
        <v>2.9861111111111005E-2</v>
      </c>
      <c r="I508" s="9" t="s">
        <v>7</v>
      </c>
    </row>
    <row r="509" spans="1:9" x14ac:dyDescent="0.25">
      <c r="E509" s="21">
        <f t="shared" si="9"/>
        <v>0</v>
      </c>
      <c r="I509" s="9"/>
    </row>
    <row r="510" spans="1:9" x14ac:dyDescent="0.25">
      <c r="A510" s="20">
        <v>41424</v>
      </c>
      <c r="B510" s="1">
        <v>0.78263888888888899</v>
      </c>
      <c r="C510" s="1">
        <v>0.84722222222222221</v>
      </c>
      <c r="E510" s="21">
        <f t="shared" si="9"/>
        <v>6.4583333333333215E-2</v>
      </c>
      <c r="G510" s="3" t="s">
        <v>119</v>
      </c>
      <c r="H510" s="3" t="s">
        <v>120</v>
      </c>
      <c r="I510" s="9" t="s">
        <v>121</v>
      </c>
    </row>
    <row r="511" spans="1:9" x14ac:dyDescent="0.25">
      <c r="A511" s="20">
        <v>41424</v>
      </c>
      <c r="B511" s="1">
        <v>0.88194444444444453</v>
      </c>
      <c r="C511" s="1">
        <v>0.91736111111111107</v>
      </c>
      <c r="E511" s="21">
        <f t="shared" si="9"/>
        <v>3.5416666666666541E-2</v>
      </c>
      <c r="G511" s="3" t="s">
        <v>119</v>
      </c>
      <c r="H511" s="3" t="s">
        <v>120</v>
      </c>
      <c r="I511" s="9" t="s">
        <v>121</v>
      </c>
    </row>
    <row r="512" spans="1:9" x14ac:dyDescent="0.25">
      <c r="A512" s="20">
        <v>41424</v>
      </c>
      <c r="B512" s="1">
        <v>0.94097222222222221</v>
      </c>
      <c r="C512" s="1">
        <v>0.98541666666666661</v>
      </c>
      <c r="E512" s="21">
        <f t="shared" si="9"/>
        <v>4.4444444444444398E-2</v>
      </c>
      <c r="G512" s="3" t="s">
        <v>119</v>
      </c>
      <c r="H512" s="3" t="s">
        <v>120</v>
      </c>
      <c r="I512" s="9" t="s">
        <v>121</v>
      </c>
    </row>
    <row r="513" spans="1:11" x14ac:dyDescent="0.25">
      <c r="E513" s="21">
        <f t="shared" si="9"/>
        <v>0</v>
      </c>
      <c r="I513" s="9"/>
    </row>
    <row r="514" spans="1:11" x14ac:dyDescent="0.25">
      <c r="A514" s="20">
        <v>41425</v>
      </c>
      <c r="B514" s="1">
        <v>0.48958333333333331</v>
      </c>
      <c r="C514" s="1">
        <v>0.5625</v>
      </c>
      <c r="E514" s="21">
        <f t="shared" si="9"/>
        <v>7.2916666666666685E-2</v>
      </c>
      <c r="I514" s="3" t="s">
        <v>122</v>
      </c>
      <c r="K514" s="2" t="s">
        <v>123</v>
      </c>
    </row>
    <row r="515" spans="1:11" x14ac:dyDescent="0.25">
      <c r="A515" s="20">
        <v>41425</v>
      </c>
      <c r="B515" s="1">
        <v>0.69305555555555554</v>
      </c>
      <c r="C515" s="1">
        <v>0.7368055555555556</v>
      </c>
      <c r="E515" s="21">
        <f t="shared" si="9"/>
        <v>4.3750000000000067E-2</v>
      </c>
      <c r="G515" s="3" t="s">
        <v>119</v>
      </c>
      <c r="H515" s="3" t="s">
        <v>120</v>
      </c>
      <c r="I515" s="9" t="s">
        <v>121</v>
      </c>
    </row>
    <row r="516" spans="1:11" x14ac:dyDescent="0.25">
      <c r="E516" s="21">
        <f t="shared" si="9"/>
        <v>0</v>
      </c>
      <c r="I516" s="9"/>
    </row>
    <row r="517" spans="1:11" x14ac:dyDescent="0.25">
      <c r="A517" s="20">
        <v>41426</v>
      </c>
      <c r="B517" s="1">
        <v>0.52222222222222225</v>
      </c>
      <c r="C517" s="1">
        <v>0.53541666666666665</v>
      </c>
      <c r="E517" s="21">
        <f t="shared" si="9"/>
        <v>1.3194444444444398E-2</v>
      </c>
      <c r="F517" s="25">
        <f>SUM(E517:E551)</f>
        <v>1.0111111111111111</v>
      </c>
      <c r="G517" s="3" t="s">
        <v>119</v>
      </c>
      <c r="H517" s="3" t="s">
        <v>120</v>
      </c>
      <c r="I517" s="9" t="s">
        <v>121</v>
      </c>
    </row>
    <row r="518" spans="1:11" x14ac:dyDescent="0.25">
      <c r="A518" s="20">
        <v>41426</v>
      </c>
      <c r="B518" s="1">
        <v>0.56597222222222221</v>
      </c>
      <c r="C518" s="1">
        <v>0.64097222222222217</v>
      </c>
      <c r="E518" s="21">
        <f t="shared" si="9"/>
        <v>7.4999999999999956E-2</v>
      </c>
      <c r="G518" s="3" t="s">
        <v>119</v>
      </c>
      <c r="H518" s="3" t="s">
        <v>120</v>
      </c>
      <c r="I518" s="9" t="s">
        <v>121</v>
      </c>
    </row>
    <row r="519" spans="1:11" x14ac:dyDescent="0.25">
      <c r="A519" s="20">
        <v>41426</v>
      </c>
      <c r="B519" s="1">
        <v>0.65416666666666667</v>
      </c>
      <c r="C519" s="1">
        <v>0.71319444444444446</v>
      </c>
      <c r="D519" s="4">
        <v>1.0416666666666666E-2</v>
      </c>
      <c r="E519" s="21">
        <f t="shared" si="9"/>
        <v>5.6944444444444457E-2</v>
      </c>
      <c r="G519" s="3" t="s">
        <v>119</v>
      </c>
      <c r="H519" s="3" t="s">
        <v>120</v>
      </c>
      <c r="I519" s="9" t="s">
        <v>121</v>
      </c>
    </row>
    <row r="520" spans="1:11" x14ac:dyDescent="0.25">
      <c r="E520" s="21">
        <f t="shared" si="9"/>
        <v>0</v>
      </c>
      <c r="I520" s="9"/>
    </row>
    <row r="521" spans="1:11" x14ac:dyDescent="0.25">
      <c r="A521" s="20">
        <v>41428</v>
      </c>
      <c r="B521" s="1">
        <v>0.80555555555555547</v>
      </c>
      <c r="C521" s="1">
        <v>0.82638888888888884</v>
      </c>
      <c r="E521" s="21">
        <f t="shared" si="9"/>
        <v>2.083333333333337E-2</v>
      </c>
      <c r="G521" s="3" t="s">
        <v>119</v>
      </c>
      <c r="H521" s="3" t="s">
        <v>120</v>
      </c>
      <c r="I521" s="9" t="s">
        <v>121</v>
      </c>
    </row>
    <row r="522" spans="1:11" x14ac:dyDescent="0.25">
      <c r="A522" s="20">
        <v>41428</v>
      </c>
      <c r="B522" s="1">
        <v>0.86805555555555547</v>
      </c>
      <c r="C522" s="1">
        <v>0.89930555555555547</v>
      </c>
      <c r="E522" s="21">
        <f t="shared" si="9"/>
        <v>3.125E-2</v>
      </c>
      <c r="G522" s="3" t="s">
        <v>119</v>
      </c>
      <c r="H522" s="3" t="s">
        <v>120</v>
      </c>
      <c r="I522" s="9" t="s">
        <v>121</v>
      </c>
    </row>
    <row r="523" spans="1:11" x14ac:dyDescent="0.25">
      <c r="A523" s="20">
        <v>41428</v>
      </c>
      <c r="B523" s="1">
        <v>0.89722222222222225</v>
      </c>
      <c r="C523" s="1">
        <v>0.91180555555555554</v>
      </c>
      <c r="E523" s="21">
        <f t="shared" si="9"/>
        <v>1.4583333333333282E-2</v>
      </c>
      <c r="I523" s="9" t="s">
        <v>124</v>
      </c>
    </row>
    <row r="524" spans="1:11" x14ac:dyDescent="0.25">
      <c r="A524" s="20">
        <v>41428</v>
      </c>
      <c r="B524" s="1">
        <f>C523</f>
        <v>0.91180555555555554</v>
      </c>
      <c r="C524" s="1">
        <v>0.97291666666666676</v>
      </c>
      <c r="E524" s="21">
        <f t="shared" si="9"/>
        <v>6.1111111111111227E-2</v>
      </c>
      <c r="G524" s="3" t="s">
        <v>119</v>
      </c>
      <c r="H524" s="3" t="s">
        <v>120</v>
      </c>
      <c r="I524" s="9" t="s">
        <v>121</v>
      </c>
    </row>
    <row r="525" spans="1:11" x14ac:dyDescent="0.25">
      <c r="E525" s="21">
        <f t="shared" si="9"/>
        <v>0</v>
      </c>
      <c r="I525" s="9"/>
    </row>
    <row r="526" spans="1:11" x14ac:dyDescent="0.25">
      <c r="A526" s="20">
        <v>41429</v>
      </c>
      <c r="B526" s="1">
        <v>0.86805555555555547</v>
      </c>
      <c r="C526" s="1">
        <v>0.93472222222222223</v>
      </c>
      <c r="E526" s="21">
        <f t="shared" si="9"/>
        <v>6.6666666666666763E-2</v>
      </c>
      <c r="G526" s="3" t="s">
        <v>119</v>
      </c>
      <c r="H526" s="3" t="s">
        <v>120</v>
      </c>
      <c r="I526" s="9" t="s">
        <v>121</v>
      </c>
    </row>
    <row r="527" spans="1:11" x14ac:dyDescent="0.25">
      <c r="E527" s="21">
        <f t="shared" si="9"/>
        <v>0</v>
      </c>
      <c r="I527" s="9"/>
    </row>
    <row r="528" spans="1:11" x14ac:dyDescent="0.25">
      <c r="A528" s="20">
        <v>41430</v>
      </c>
      <c r="B528" s="1">
        <v>0.81111111111111101</v>
      </c>
      <c r="C528" s="1">
        <v>0.84375</v>
      </c>
      <c r="E528" s="21">
        <f t="shared" si="9"/>
        <v>3.2638888888888995E-2</v>
      </c>
      <c r="G528" s="3" t="s">
        <v>119</v>
      </c>
      <c r="H528" s="3" t="s">
        <v>120</v>
      </c>
      <c r="I528" s="9" t="s">
        <v>121</v>
      </c>
    </row>
    <row r="529" spans="1:9" x14ac:dyDescent="0.25">
      <c r="A529" s="20">
        <v>41430</v>
      </c>
      <c r="B529" s="1">
        <v>0.8930555555555556</v>
      </c>
      <c r="C529" s="1">
        <v>0.9902777777777777</v>
      </c>
      <c r="E529" s="21">
        <f t="shared" si="9"/>
        <v>9.7222222222222099E-2</v>
      </c>
      <c r="G529" s="3" t="s">
        <v>119</v>
      </c>
      <c r="H529" s="3" t="s">
        <v>120</v>
      </c>
      <c r="I529" s="9" t="s">
        <v>121</v>
      </c>
    </row>
    <row r="530" spans="1:9" x14ac:dyDescent="0.25">
      <c r="E530" s="21">
        <f t="shared" si="9"/>
        <v>0</v>
      </c>
      <c r="I530" s="9"/>
    </row>
    <row r="531" spans="1:9" x14ac:dyDescent="0.25">
      <c r="A531" s="20">
        <v>41431</v>
      </c>
      <c r="B531" s="1">
        <v>0.89583333333333337</v>
      </c>
      <c r="C531" s="1">
        <v>0.9916666666666667</v>
      </c>
      <c r="E531" s="21">
        <f t="shared" si="9"/>
        <v>9.5833333333333326E-2</v>
      </c>
      <c r="G531" s="3" t="s">
        <v>119</v>
      </c>
      <c r="H531" s="3" t="s">
        <v>120</v>
      </c>
      <c r="I531" s="9" t="s">
        <v>121</v>
      </c>
    </row>
    <row r="532" spans="1:9" x14ac:dyDescent="0.25">
      <c r="E532" s="21">
        <f t="shared" si="9"/>
        <v>0</v>
      </c>
    </row>
    <row r="533" spans="1:9" x14ac:dyDescent="0.25">
      <c r="A533" s="20">
        <v>41432</v>
      </c>
      <c r="B533" s="1">
        <v>0.4513888888888889</v>
      </c>
      <c r="C533" s="1">
        <v>0.51597222222222217</v>
      </c>
      <c r="D533" s="4">
        <v>2.0833333333333332E-2</v>
      </c>
      <c r="E533" s="21">
        <f t="shared" ref="E533:E682" si="10">IF(D533&lt;(12/1440),C533-B533,C533-B533-D533+(12/1440))</f>
        <v>5.2083333333333273E-2</v>
      </c>
      <c r="G533" s="3" t="s">
        <v>119</v>
      </c>
      <c r="H533" s="3" t="s">
        <v>120</v>
      </c>
      <c r="I533" s="9" t="s">
        <v>121</v>
      </c>
    </row>
    <row r="534" spans="1:9" x14ac:dyDescent="0.25">
      <c r="A534" s="20">
        <v>41432</v>
      </c>
      <c r="B534" s="1">
        <v>0.93263888888888891</v>
      </c>
      <c r="C534" s="1">
        <v>0.99930555555555556</v>
      </c>
      <c r="E534" s="21">
        <f t="shared" si="10"/>
        <v>6.6666666666666652E-2</v>
      </c>
      <c r="G534" s="3" t="s">
        <v>119</v>
      </c>
      <c r="H534" s="3" t="s">
        <v>120</v>
      </c>
      <c r="I534" s="9" t="s">
        <v>121</v>
      </c>
    </row>
    <row r="535" spans="1:9" x14ac:dyDescent="0.25">
      <c r="A535" s="20">
        <v>41433</v>
      </c>
      <c r="B535" s="1">
        <v>0</v>
      </c>
      <c r="C535" s="1">
        <v>7.6388888888888886E-3</v>
      </c>
      <c r="E535" s="21">
        <f t="shared" si="10"/>
        <v>7.6388888888888886E-3</v>
      </c>
      <c r="G535" s="3" t="s">
        <v>119</v>
      </c>
      <c r="H535" s="3" t="s">
        <v>120</v>
      </c>
      <c r="I535" s="9" t="s">
        <v>121</v>
      </c>
    </row>
    <row r="536" spans="1:9" x14ac:dyDescent="0.25">
      <c r="E536" s="21">
        <f t="shared" si="10"/>
        <v>0</v>
      </c>
    </row>
    <row r="537" spans="1:9" x14ac:dyDescent="0.25">
      <c r="A537" s="20">
        <v>41433</v>
      </c>
      <c r="B537" s="1">
        <v>0.77430555555555547</v>
      </c>
      <c r="C537" s="1">
        <v>0.78055555555555556</v>
      </c>
      <c r="E537" s="21">
        <f t="shared" si="10"/>
        <v>6.2500000000000888E-3</v>
      </c>
      <c r="G537" s="3" t="s">
        <v>119</v>
      </c>
      <c r="H537" s="3" t="s">
        <v>120</v>
      </c>
      <c r="I537" s="9" t="s">
        <v>121</v>
      </c>
    </row>
    <row r="538" spans="1:9" x14ac:dyDescent="0.25">
      <c r="A538" s="20">
        <v>41433</v>
      </c>
      <c r="B538" s="1">
        <v>0.79791666666666661</v>
      </c>
      <c r="C538" s="1">
        <v>0.85277777777777775</v>
      </c>
      <c r="D538" s="4">
        <v>7.6388888888888886E-3</v>
      </c>
      <c r="E538" s="21">
        <f t="shared" si="10"/>
        <v>5.4861111111111138E-2</v>
      </c>
      <c r="G538" s="3" t="s">
        <v>119</v>
      </c>
      <c r="H538" s="3" t="s">
        <v>120</v>
      </c>
      <c r="I538" s="9" t="s">
        <v>121</v>
      </c>
    </row>
    <row r="539" spans="1:9" x14ac:dyDescent="0.25">
      <c r="A539" s="20">
        <v>41433</v>
      </c>
      <c r="B539" s="1">
        <v>0.87569444444444444</v>
      </c>
      <c r="C539" s="1">
        <v>0.93194444444444446</v>
      </c>
      <c r="D539" s="4">
        <v>4.8611111111111112E-3</v>
      </c>
      <c r="E539" s="21">
        <f t="shared" si="10"/>
        <v>5.6250000000000022E-2</v>
      </c>
      <c r="G539" s="3" t="s">
        <v>119</v>
      </c>
      <c r="H539" s="3" t="s">
        <v>120</v>
      </c>
      <c r="I539" s="9" t="s">
        <v>121</v>
      </c>
    </row>
    <row r="540" spans="1:9" x14ac:dyDescent="0.25">
      <c r="E540" s="21">
        <f t="shared" si="10"/>
        <v>0</v>
      </c>
    </row>
    <row r="541" spans="1:9" x14ac:dyDescent="0.25">
      <c r="A541" s="20">
        <v>41437</v>
      </c>
      <c r="B541" s="1">
        <v>0.87152777777777779</v>
      </c>
      <c r="C541" s="1">
        <v>0.8881944444444444</v>
      </c>
      <c r="E541" s="21">
        <f t="shared" si="10"/>
        <v>1.6666666666666607E-2</v>
      </c>
      <c r="G541" s="3" t="s">
        <v>119</v>
      </c>
      <c r="H541" s="3" t="s">
        <v>120</v>
      </c>
      <c r="I541" s="9" t="s">
        <v>121</v>
      </c>
    </row>
    <row r="542" spans="1:9" x14ac:dyDescent="0.25">
      <c r="E542" s="21">
        <f t="shared" si="10"/>
        <v>0</v>
      </c>
      <c r="I542" s="9"/>
    </row>
    <row r="543" spans="1:9" x14ac:dyDescent="0.25">
      <c r="A543" s="20">
        <v>41438</v>
      </c>
      <c r="B543" s="1">
        <v>0.81458333333333333</v>
      </c>
      <c r="C543" s="1">
        <v>0.82986111111111116</v>
      </c>
      <c r="E543" s="21">
        <f t="shared" si="10"/>
        <v>1.5277777777777835E-2</v>
      </c>
      <c r="G543" s="3" t="s">
        <v>119</v>
      </c>
      <c r="H543" s="3" t="s">
        <v>120</v>
      </c>
      <c r="I543" s="9" t="s">
        <v>121</v>
      </c>
    </row>
    <row r="544" spans="1:9" x14ac:dyDescent="0.25">
      <c r="A544" s="20">
        <v>41438</v>
      </c>
      <c r="B544" s="1">
        <v>0.86944444444444446</v>
      </c>
      <c r="C544" s="1">
        <v>0.8979166666666667</v>
      </c>
      <c r="E544" s="21">
        <f t="shared" si="10"/>
        <v>2.8472222222222232E-2</v>
      </c>
      <c r="G544" s="3" t="s">
        <v>119</v>
      </c>
      <c r="H544" s="3" t="s">
        <v>120</v>
      </c>
      <c r="I544" s="9" t="s">
        <v>121</v>
      </c>
    </row>
    <row r="545" spans="1:9" x14ac:dyDescent="0.25">
      <c r="E545" s="21">
        <f t="shared" si="10"/>
        <v>0</v>
      </c>
      <c r="I545" s="9"/>
    </row>
    <row r="546" spans="1:9" x14ac:dyDescent="0.25">
      <c r="A546" s="20">
        <v>41439</v>
      </c>
      <c r="B546" s="1">
        <v>0.50763888888888886</v>
      </c>
      <c r="C546" s="1">
        <v>0.51944444444444449</v>
      </c>
      <c r="E546" s="21">
        <f t="shared" si="10"/>
        <v>1.1805555555555625E-2</v>
      </c>
      <c r="G546" s="3" t="s">
        <v>119</v>
      </c>
      <c r="H546" s="3" t="s">
        <v>120</v>
      </c>
      <c r="I546" s="9" t="s">
        <v>121</v>
      </c>
    </row>
    <row r="547" spans="1:9" x14ac:dyDescent="0.25">
      <c r="A547" s="20">
        <v>41439</v>
      </c>
      <c r="B547" s="1">
        <v>0.76041666666666663</v>
      </c>
      <c r="C547" s="1">
        <v>0.77430555555555547</v>
      </c>
      <c r="E547" s="21">
        <f t="shared" si="10"/>
        <v>1.388888888888884E-2</v>
      </c>
      <c r="G547" s="3" t="s">
        <v>119</v>
      </c>
      <c r="H547" s="3" t="s">
        <v>120</v>
      </c>
      <c r="I547" s="9" t="s">
        <v>121</v>
      </c>
    </row>
    <row r="548" spans="1:9" x14ac:dyDescent="0.25">
      <c r="E548" s="21">
        <f t="shared" si="10"/>
        <v>0</v>
      </c>
    </row>
    <row r="549" spans="1:9" x14ac:dyDescent="0.25">
      <c r="A549" s="20">
        <v>41440</v>
      </c>
      <c r="B549" s="1">
        <v>0.46875</v>
      </c>
      <c r="C549" s="1">
        <v>0.54722222222222217</v>
      </c>
      <c r="D549" s="4">
        <v>2.7777777777777776E-2</v>
      </c>
      <c r="E549" s="21">
        <f t="shared" si="10"/>
        <v>5.9027777777777721E-2</v>
      </c>
      <c r="G549" s="3" t="s">
        <v>119</v>
      </c>
      <c r="H549" s="3" t="s">
        <v>120</v>
      </c>
      <c r="I549" s="9" t="s">
        <v>121</v>
      </c>
    </row>
    <row r="550" spans="1:9" x14ac:dyDescent="0.25">
      <c r="A550" s="20">
        <v>41440</v>
      </c>
      <c r="B550" s="1">
        <v>0.60625000000000007</v>
      </c>
      <c r="C550" s="1">
        <v>0.62083333333333335</v>
      </c>
      <c r="E550" s="21">
        <f t="shared" si="10"/>
        <v>1.4583333333333282E-2</v>
      </c>
      <c r="G550" s="3" t="s">
        <v>119</v>
      </c>
      <c r="H550" s="3" t="s">
        <v>120</v>
      </c>
      <c r="I550" s="9" t="s">
        <v>121</v>
      </c>
    </row>
    <row r="551" spans="1:9" x14ac:dyDescent="0.25">
      <c r="A551" s="20">
        <v>41440</v>
      </c>
      <c r="B551" s="1">
        <v>0.88263888888888886</v>
      </c>
      <c r="C551" s="1">
        <v>0.92499999999999993</v>
      </c>
      <c r="E551" s="21">
        <f t="shared" si="10"/>
        <v>4.2361111111111072E-2</v>
      </c>
      <c r="G551" s="3" t="s">
        <v>119</v>
      </c>
      <c r="H551" s="3" t="s">
        <v>120</v>
      </c>
      <c r="I551" s="9" t="s">
        <v>121</v>
      </c>
    </row>
    <row r="552" spans="1:9" x14ac:dyDescent="0.25">
      <c r="I552" s="9"/>
    </row>
    <row r="553" spans="1:9" x14ac:dyDescent="0.25">
      <c r="A553" s="20">
        <v>41449</v>
      </c>
      <c r="B553" s="1">
        <v>0.89583333333333337</v>
      </c>
      <c r="C553" s="1">
        <v>0.92499999999999993</v>
      </c>
      <c r="E553" s="21">
        <f t="shared" si="10"/>
        <v>2.9166666666666563E-2</v>
      </c>
      <c r="F553" s="25">
        <f>SUM(E553:E554)</f>
        <v>2.9166666666666563E-2</v>
      </c>
      <c r="G553" s="3" t="s">
        <v>119</v>
      </c>
      <c r="H553" s="3" t="s">
        <v>120</v>
      </c>
      <c r="I553" s="9" t="s">
        <v>121</v>
      </c>
    </row>
    <row r="554" spans="1:9" x14ac:dyDescent="0.25">
      <c r="E554" s="21">
        <f t="shared" si="10"/>
        <v>0</v>
      </c>
      <c r="I554" s="9"/>
    </row>
    <row r="555" spans="1:9" x14ac:dyDescent="0.25">
      <c r="A555" s="20">
        <v>41450</v>
      </c>
      <c r="B555" s="1">
        <v>0.86458333333333337</v>
      </c>
      <c r="C555" s="1">
        <v>0.91736111111111107</v>
      </c>
      <c r="E555" s="21">
        <f t="shared" si="10"/>
        <v>5.2777777777777701E-2</v>
      </c>
      <c r="F555" s="25">
        <f>SUM(E555:E556)</f>
        <v>5.2777777777777701E-2</v>
      </c>
      <c r="G555" s="3" t="s">
        <v>119</v>
      </c>
      <c r="H555" s="3" t="s">
        <v>120</v>
      </c>
      <c r="I555" s="9" t="s">
        <v>121</v>
      </c>
    </row>
    <row r="556" spans="1:9" x14ac:dyDescent="0.25">
      <c r="E556" s="21">
        <f t="shared" si="10"/>
        <v>0</v>
      </c>
      <c r="I556" s="9"/>
    </row>
    <row r="557" spans="1:9" x14ac:dyDescent="0.25">
      <c r="A557" s="20">
        <v>41460</v>
      </c>
      <c r="B557" s="1">
        <v>0.56458333333333333</v>
      </c>
      <c r="C557" s="1">
        <v>0.65208333333333335</v>
      </c>
      <c r="D557" s="4">
        <v>8.3333333333333332E-3</v>
      </c>
      <c r="E557" s="21">
        <f t="shared" si="10"/>
        <v>8.7500000000000022E-2</v>
      </c>
      <c r="F557" s="25">
        <f>SUM(E557:E559)</f>
        <v>0.15138888888888891</v>
      </c>
      <c r="I557" s="9" t="s">
        <v>125</v>
      </c>
    </row>
    <row r="558" spans="1:9" x14ac:dyDescent="0.25">
      <c r="A558" s="20">
        <v>41460</v>
      </c>
      <c r="B558" s="1">
        <f>C557</f>
        <v>0.65208333333333335</v>
      </c>
      <c r="C558" s="1">
        <v>0.71597222222222223</v>
      </c>
      <c r="E558" s="21">
        <f t="shared" si="10"/>
        <v>6.3888888888888884E-2</v>
      </c>
      <c r="I558" s="9" t="s">
        <v>126</v>
      </c>
    </row>
    <row r="559" spans="1:9" x14ac:dyDescent="0.25">
      <c r="E559" s="21">
        <f t="shared" si="10"/>
        <v>0</v>
      </c>
      <c r="I559" s="9"/>
    </row>
    <row r="560" spans="1:9" x14ac:dyDescent="0.25">
      <c r="A560" s="20">
        <v>41468</v>
      </c>
      <c r="B560" s="1">
        <v>0.53611111111111109</v>
      </c>
      <c r="C560" s="1">
        <v>0.53819444444444442</v>
      </c>
      <c r="E560" s="21">
        <f t="shared" si="10"/>
        <v>2.0833333333333259E-3</v>
      </c>
      <c r="F560" s="25">
        <f>SUM(E560:E563)</f>
        <v>0.29375000000000001</v>
      </c>
      <c r="I560" s="9" t="s">
        <v>126</v>
      </c>
    </row>
    <row r="561" spans="1:9" x14ac:dyDescent="0.25">
      <c r="E561" s="21">
        <f t="shared" si="10"/>
        <v>0</v>
      </c>
      <c r="I561" s="9"/>
    </row>
    <row r="562" spans="1:9" x14ac:dyDescent="0.25">
      <c r="A562" s="20">
        <v>41473</v>
      </c>
      <c r="B562" s="1">
        <v>0.35416666666666669</v>
      </c>
      <c r="C562" s="1">
        <v>0.5</v>
      </c>
      <c r="E562" s="21">
        <f t="shared" si="10"/>
        <v>0.14583333333333331</v>
      </c>
      <c r="I562" s="9" t="s">
        <v>127</v>
      </c>
    </row>
    <row r="563" spans="1:9" x14ac:dyDescent="0.25">
      <c r="A563" s="20">
        <v>41473</v>
      </c>
      <c r="B563" s="1">
        <v>0.54166666666666663</v>
      </c>
      <c r="C563" s="1">
        <v>0.6875</v>
      </c>
      <c r="E563" s="21">
        <f t="shared" si="10"/>
        <v>0.14583333333333337</v>
      </c>
      <c r="I563" s="9" t="s">
        <v>127</v>
      </c>
    </row>
    <row r="564" spans="1:9" x14ac:dyDescent="0.25">
      <c r="E564" s="21">
        <f t="shared" si="10"/>
        <v>0</v>
      </c>
      <c r="I564" s="9"/>
    </row>
    <row r="565" spans="1:9" x14ac:dyDescent="0.25">
      <c r="A565" s="20">
        <v>41482</v>
      </c>
      <c r="B565" s="1">
        <v>0.72569444444444453</v>
      </c>
      <c r="C565" s="1">
        <v>0.82916666666666661</v>
      </c>
      <c r="E565" s="21">
        <f t="shared" si="10"/>
        <v>0.10347222222222208</v>
      </c>
      <c r="F565" s="25">
        <f>SUM(E565:E578)</f>
        <v>0.50069444444444433</v>
      </c>
      <c r="I565" s="9" t="s">
        <v>126</v>
      </c>
    </row>
    <row r="566" spans="1:9" x14ac:dyDescent="0.25">
      <c r="A566" s="20">
        <v>41482</v>
      </c>
      <c r="B566" s="1">
        <f>C565</f>
        <v>0.82916666666666661</v>
      </c>
      <c r="C566" s="1">
        <v>0.8534722222222223</v>
      </c>
      <c r="E566" s="21">
        <f t="shared" si="10"/>
        <v>2.4305555555555691E-2</v>
      </c>
      <c r="I566" s="9" t="s">
        <v>128</v>
      </c>
    </row>
    <row r="567" spans="1:9" x14ac:dyDescent="0.25">
      <c r="I567" s="9"/>
    </row>
    <row r="568" spans="1:9" x14ac:dyDescent="0.25">
      <c r="A568" s="20">
        <v>41485</v>
      </c>
      <c r="B568" s="1">
        <v>0.48958333333333331</v>
      </c>
      <c r="C568" s="1">
        <v>0.55208333333333337</v>
      </c>
      <c r="E568" s="21">
        <f t="shared" si="10"/>
        <v>6.2500000000000056E-2</v>
      </c>
      <c r="I568" s="9" t="s">
        <v>129</v>
      </c>
    </row>
    <row r="569" spans="1:9" x14ac:dyDescent="0.25">
      <c r="A569" s="20">
        <v>41485</v>
      </c>
      <c r="B569" s="1">
        <v>0.86111111111111116</v>
      </c>
      <c r="C569" s="1">
        <v>0.88888888888888884</v>
      </c>
      <c r="E569" s="21">
        <f t="shared" si="10"/>
        <v>2.7777777777777679E-2</v>
      </c>
      <c r="I569" s="9" t="s">
        <v>128</v>
      </c>
    </row>
    <row r="570" spans="1:9" x14ac:dyDescent="0.25">
      <c r="A570" s="20">
        <v>41485</v>
      </c>
      <c r="B570" s="1">
        <f>C569</f>
        <v>0.88888888888888884</v>
      </c>
      <c r="C570" s="1">
        <v>0.92569444444444438</v>
      </c>
      <c r="E570" s="21">
        <f t="shared" si="10"/>
        <v>3.6805555555555536E-2</v>
      </c>
      <c r="I570" s="9" t="s">
        <v>130</v>
      </c>
    </row>
    <row r="571" spans="1:9" x14ac:dyDescent="0.25">
      <c r="E571" s="21">
        <f t="shared" si="10"/>
        <v>0</v>
      </c>
      <c r="I571" s="9"/>
    </row>
    <row r="572" spans="1:9" x14ac:dyDescent="0.25">
      <c r="A572" s="20">
        <v>41488</v>
      </c>
      <c r="B572" s="1">
        <v>0.70347222222222217</v>
      </c>
      <c r="C572" s="1">
        <v>0.7416666666666667</v>
      </c>
      <c r="E572" s="21">
        <f t="shared" si="10"/>
        <v>3.8194444444444531E-2</v>
      </c>
      <c r="I572" s="9" t="s">
        <v>126</v>
      </c>
    </row>
    <row r="573" spans="1:9" x14ac:dyDescent="0.25">
      <c r="A573" s="20">
        <v>41488</v>
      </c>
      <c r="B573" s="1">
        <v>0.76527777777777783</v>
      </c>
      <c r="C573" s="1">
        <v>0.77847222222222223</v>
      </c>
      <c r="E573" s="21">
        <f t="shared" si="10"/>
        <v>1.3194444444444398E-2</v>
      </c>
      <c r="I573" s="9" t="s">
        <v>126</v>
      </c>
    </row>
    <row r="574" spans="1:9" x14ac:dyDescent="0.25">
      <c r="E574" s="21">
        <f t="shared" si="10"/>
        <v>0</v>
      </c>
      <c r="I574" s="9"/>
    </row>
    <row r="575" spans="1:9" x14ac:dyDescent="0.25">
      <c r="A575" s="20">
        <v>41489</v>
      </c>
      <c r="B575" s="1">
        <v>0.45902777777777781</v>
      </c>
      <c r="C575" s="1">
        <v>0.53055555555555556</v>
      </c>
      <c r="D575" s="4">
        <v>1.1111111111111112E-2</v>
      </c>
      <c r="E575" s="21">
        <f t="shared" si="10"/>
        <v>6.8749999999999964E-2</v>
      </c>
      <c r="I575" s="9" t="s">
        <v>126</v>
      </c>
    </row>
    <row r="576" spans="1:9" x14ac:dyDescent="0.25">
      <c r="A576" s="20">
        <v>41489</v>
      </c>
      <c r="B576" s="1">
        <v>0.70486111111111116</v>
      </c>
      <c r="C576" s="1">
        <v>0.80208333333333337</v>
      </c>
      <c r="D576" s="4">
        <v>1.7361111111111112E-2</v>
      </c>
      <c r="E576" s="21">
        <f t="shared" si="10"/>
        <v>8.8194444444444436E-2</v>
      </c>
      <c r="I576" s="9" t="s">
        <v>126</v>
      </c>
    </row>
    <row r="577" spans="1:9" x14ac:dyDescent="0.25">
      <c r="A577" s="20">
        <v>41489</v>
      </c>
      <c r="B577" s="1">
        <v>0.82777777777777783</v>
      </c>
      <c r="C577" s="1">
        <v>0.84444444444444444</v>
      </c>
      <c r="E577" s="21">
        <f t="shared" si="10"/>
        <v>1.6666666666666607E-2</v>
      </c>
      <c r="I577" s="9" t="s">
        <v>126</v>
      </c>
    </row>
    <row r="578" spans="1:9" x14ac:dyDescent="0.25">
      <c r="A578" s="20">
        <v>41489</v>
      </c>
      <c r="B578" s="1">
        <v>0.93958333333333333</v>
      </c>
      <c r="C578" s="1">
        <v>0.9604166666666667</v>
      </c>
      <c r="E578" s="21">
        <f t="shared" si="10"/>
        <v>2.083333333333337E-2</v>
      </c>
      <c r="I578" s="9" t="s">
        <v>126</v>
      </c>
    </row>
    <row r="579" spans="1:9" x14ac:dyDescent="0.25">
      <c r="E579" s="21">
        <f t="shared" si="10"/>
        <v>0</v>
      </c>
      <c r="I579" s="9"/>
    </row>
    <row r="580" spans="1:9" x14ac:dyDescent="0.25">
      <c r="A580" s="20">
        <v>41490</v>
      </c>
      <c r="B580" s="1">
        <v>0.8618055555555556</v>
      </c>
      <c r="C580" s="1">
        <v>0.88888888888888884</v>
      </c>
      <c r="D580" s="4">
        <v>5.5555555555555558E-3</v>
      </c>
      <c r="E580" s="21">
        <f t="shared" si="10"/>
        <v>2.7083333333333237E-2</v>
      </c>
      <c r="F580" s="25">
        <f>SUM(E580:E600)</f>
        <v>0.83541666666666681</v>
      </c>
      <c r="I580" s="9" t="s">
        <v>126</v>
      </c>
    </row>
    <row r="581" spans="1:9" x14ac:dyDescent="0.25">
      <c r="A581" s="20">
        <v>41490</v>
      </c>
      <c r="B581" s="1">
        <v>0.90763888888888899</v>
      </c>
      <c r="C581" s="1">
        <v>0.92083333333333339</v>
      </c>
      <c r="E581" s="21">
        <f t="shared" si="10"/>
        <v>1.3194444444444398E-2</v>
      </c>
      <c r="I581" s="9" t="s">
        <v>126</v>
      </c>
    </row>
    <row r="582" spans="1:9" x14ac:dyDescent="0.25">
      <c r="E582" s="21">
        <f t="shared" si="10"/>
        <v>0</v>
      </c>
      <c r="I582" s="9"/>
    </row>
    <row r="583" spans="1:9" x14ac:dyDescent="0.25">
      <c r="A583" s="20">
        <v>41491</v>
      </c>
      <c r="B583" s="1">
        <v>0.91666666666666663</v>
      </c>
      <c r="C583" s="1">
        <v>0.95833333333333337</v>
      </c>
      <c r="E583" s="21">
        <f t="shared" si="10"/>
        <v>4.1666666666666741E-2</v>
      </c>
      <c r="I583" s="9" t="s">
        <v>131</v>
      </c>
    </row>
    <row r="584" spans="1:9" x14ac:dyDescent="0.25">
      <c r="E584" s="21">
        <f t="shared" si="10"/>
        <v>0</v>
      </c>
      <c r="I584" s="9"/>
    </row>
    <row r="585" spans="1:9" x14ac:dyDescent="0.25">
      <c r="A585" s="20">
        <v>41492</v>
      </c>
      <c r="B585" s="1">
        <v>0.87777777777777777</v>
      </c>
      <c r="C585" s="1">
        <v>0.92708333333333337</v>
      </c>
      <c r="E585" s="21">
        <f t="shared" si="10"/>
        <v>4.9305555555555602E-2</v>
      </c>
      <c r="I585" s="9" t="s">
        <v>132</v>
      </c>
    </row>
    <row r="586" spans="1:9" x14ac:dyDescent="0.25">
      <c r="A586" s="20">
        <v>41492</v>
      </c>
      <c r="B586" s="1">
        <v>0.9458333333333333</v>
      </c>
      <c r="C586" s="1">
        <v>0.95694444444444438</v>
      </c>
      <c r="E586" s="21">
        <f t="shared" si="10"/>
        <v>1.1111111111111072E-2</v>
      </c>
      <c r="I586" s="9" t="s">
        <v>132</v>
      </c>
    </row>
    <row r="587" spans="1:9" x14ac:dyDescent="0.25">
      <c r="E587" s="21">
        <f t="shared" si="10"/>
        <v>0</v>
      </c>
      <c r="I587" s="9"/>
    </row>
    <row r="588" spans="1:9" x14ac:dyDescent="0.25">
      <c r="A588" s="20">
        <v>41493</v>
      </c>
      <c r="B588" s="1">
        <v>0.89930555555555547</v>
      </c>
      <c r="C588" s="1">
        <v>0.93194444444444446</v>
      </c>
      <c r="E588" s="21">
        <f t="shared" si="10"/>
        <v>3.2638888888888995E-2</v>
      </c>
      <c r="I588" s="9" t="s">
        <v>132</v>
      </c>
    </row>
    <row r="589" spans="1:9" x14ac:dyDescent="0.25">
      <c r="E589" s="21">
        <f t="shared" si="10"/>
        <v>0</v>
      </c>
      <c r="I589" s="9"/>
    </row>
    <row r="590" spans="1:9" x14ac:dyDescent="0.25">
      <c r="A590" s="20">
        <v>41495</v>
      </c>
      <c r="B590" s="1">
        <v>0.51041666666666663</v>
      </c>
      <c r="C590" s="1">
        <v>0.59305555555555556</v>
      </c>
      <c r="D590" s="4">
        <v>5.2083333333333336E-2</v>
      </c>
      <c r="E590" s="21">
        <f t="shared" si="10"/>
        <v>3.8888888888888924E-2</v>
      </c>
      <c r="I590" s="9" t="s">
        <v>133</v>
      </c>
    </row>
    <row r="591" spans="1:9" x14ac:dyDescent="0.25">
      <c r="A591" s="20">
        <v>41495</v>
      </c>
      <c r="B591" s="1">
        <v>0.6166666666666667</v>
      </c>
      <c r="C591" s="1">
        <v>0.78611111111111109</v>
      </c>
      <c r="E591" s="21">
        <f t="shared" si="10"/>
        <v>0.1694444444444444</v>
      </c>
      <c r="I591" s="9" t="s">
        <v>133</v>
      </c>
    </row>
    <row r="592" spans="1:9" x14ac:dyDescent="0.25">
      <c r="A592" s="20">
        <v>41495</v>
      </c>
      <c r="B592" s="1">
        <v>0.7944444444444444</v>
      </c>
      <c r="C592" s="1">
        <v>0.8027777777777777</v>
      </c>
      <c r="E592" s="21">
        <f t="shared" si="10"/>
        <v>8.3333333333333037E-3</v>
      </c>
      <c r="I592" s="9" t="s">
        <v>133</v>
      </c>
    </row>
    <row r="593" spans="1:9" x14ac:dyDescent="0.25">
      <c r="A593" s="20">
        <v>41495</v>
      </c>
      <c r="B593" s="1">
        <v>0.85763888888888884</v>
      </c>
      <c r="C593" s="1">
        <v>0.89930555555555547</v>
      </c>
      <c r="E593" s="21">
        <f t="shared" si="10"/>
        <v>4.166666666666663E-2</v>
      </c>
      <c r="I593" s="9" t="s">
        <v>134</v>
      </c>
    </row>
    <row r="594" spans="1:9" x14ac:dyDescent="0.25">
      <c r="A594" s="20">
        <v>41495</v>
      </c>
      <c r="B594" s="1">
        <f>C593</f>
        <v>0.89930555555555547</v>
      </c>
      <c r="C594" s="1">
        <v>0.96805555555555556</v>
      </c>
      <c r="E594" s="21">
        <f t="shared" si="10"/>
        <v>6.8750000000000089E-2</v>
      </c>
      <c r="I594" s="9" t="s">
        <v>135</v>
      </c>
    </row>
    <row r="595" spans="1:9" x14ac:dyDescent="0.25">
      <c r="E595" s="21">
        <f t="shared" si="10"/>
        <v>0</v>
      </c>
      <c r="I595" s="9"/>
    </row>
    <row r="596" spans="1:9" x14ac:dyDescent="0.25">
      <c r="A596" s="20">
        <v>41496</v>
      </c>
      <c r="B596" s="1">
        <v>0.4777777777777778</v>
      </c>
      <c r="C596" s="1">
        <v>0.59166666666666667</v>
      </c>
      <c r="D596" s="4">
        <v>5.5555555555555558E-3</v>
      </c>
      <c r="E596" s="21">
        <f t="shared" si="10"/>
        <v>0.11388888888888887</v>
      </c>
      <c r="I596" s="9" t="s">
        <v>136</v>
      </c>
    </row>
    <row r="597" spans="1:9" x14ac:dyDescent="0.25">
      <c r="A597" s="20">
        <v>41496</v>
      </c>
      <c r="B597" s="1">
        <v>0.65277777777777779</v>
      </c>
      <c r="C597" s="1">
        <v>0.8041666666666667</v>
      </c>
      <c r="E597" s="21">
        <f t="shared" si="10"/>
        <v>0.15138888888888891</v>
      </c>
      <c r="I597" s="9" t="s">
        <v>136</v>
      </c>
    </row>
    <row r="598" spans="1:9" x14ac:dyDescent="0.25">
      <c r="A598" s="20">
        <v>41496</v>
      </c>
      <c r="B598" s="1">
        <v>0.82916666666666661</v>
      </c>
      <c r="C598" s="1">
        <v>0.84097222222222223</v>
      </c>
      <c r="E598" s="21">
        <f t="shared" si="10"/>
        <v>1.1805555555555625E-2</v>
      </c>
      <c r="I598" s="9" t="s">
        <v>136</v>
      </c>
    </row>
    <row r="599" spans="1:9" x14ac:dyDescent="0.25">
      <c r="A599" s="20">
        <v>41496</v>
      </c>
      <c r="B599" s="1">
        <v>0.87986111111111109</v>
      </c>
      <c r="C599" s="1">
        <v>0.93611111111111101</v>
      </c>
      <c r="E599" s="21">
        <f t="shared" si="10"/>
        <v>5.6249999999999911E-2</v>
      </c>
      <c r="I599" s="9" t="s">
        <v>136</v>
      </c>
    </row>
    <row r="600" spans="1:9" x14ac:dyDescent="0.25">
      <c r="E600" s="21">
        <f t="shared" si="10"/>
        <v>0</v>
      </c>
      <c r="I600" s="9"/>
    </row>
    <row r="601" spans="1:9" x14ac:dyDescent="0.25">
      <c r="A601" s="20">
        <v>41497</v>
      </c>
      <c r="B601" s="1">
        <v>0.84305555555555556</v>
      </c>
      <c r="C601" s="1">
        <v>0.95486111111111116</v>
      </c>
      <c r="D601" s="4">
        <v>7.6388888888888886E-3</v>
      </c>
      <c r="E601" s="21">
        <f t="shared" si="10"/>
        <v>0.1118055555555556</v>
      </c>
      <c r="F601" s="25">
        <f>SUM(E601:E611)</f>
        <v>0.38402777777777786</v>
      </c>
      <c r="I601" s="9" t="s">
        <v>136</v>
      </c>
    </row>
    <row r="602" spans="1:9" x14ac:dyDescent="0.25">
      <c r="E602" s="21">
        <f t="shared" si="10"/>
        <v>0</v>
      </c>
      <c r="I602" s="9"/>
    </row>
    <row r="603" spans="1:9" x14ac:dyDescent="0.25">
      <c r="A603" s="20">
        <v>41498</v>
      </c>
      <c r="B603" s="1">
        <v>0.875</v>
      </c>
      <c r="C603" s="1">
        <v>0.92708333333333337</v>
      </c>
      <c r="E603" s="21">
        <f t="shared" si="10"/>
        <v>5.208333333333337E-2</v>
      </c>
      <c r="I603" s="9" t="s">
        <v>137</v>
      </c>
    </row>
    <row r="604" spans="1:9" x14ac:dyDescent="0.25">
      <c r="E604" s="21">
        <f t="shared" si="10"/>
        <v>0</v>
      </c>
      <c r="I604" s="9"/>
    </row>
    <row r="605" spans="1:9" x14ac:dyDescent="0.25">
      <c r="A605" s="20">
        <v>41499</v>
      </c>
      <c r="B605" s="1">
        <v>0.69791666666666663</v>
      </c>
      <c r="C605" s="1">
        <v>0.74722222222222223</v>
      </c>
      <c r="E605" s="21">
        <f t="shared" si="10"/>
        <v>4.9305555555555602E-2</v>
      </c>
      <c r="I605" s="9" t="s">
        <v>138</v>
      </c>
    </row>
    <row r="606" spans="1:9" x14ac:dyDescent="0.25">
      <c r="A606" s="20">
        <v>41499</v>
      </c>
      <c r="B606" s="1">
        <v>0.79583333333333339</v>
      </c>
      <c r="C606" s="1">
        <v>0.8305555555555556</v>
      </c>
      <c r="D606" s="4">
        <v>1.1805555555555555E-2</v>
      </c>
      <c r="E606" s="21">
        <f t="shared" si="10"/>
        <v>3.1249999999999986E-2</v>
      </c>
      <c r="I606" s="9" t="s">
        <v>137</v>
      </c>
    </row>
    <row r="607" spans="1:9" x14ac:dyDescent="0.25">
      <c r="A607" s="20">
        <v>41499</v>
      </c>
      <c r="B607" s="1">
        <v>0.84652777777777777</v>
      </c>
      <c r="C607" s="1">
        <v>0.93402777777777779</v>
      </c>
      <c r="E607" s="21">
        <f t="shared" si="10"/>
        <v>8.7500000000000022E-2</v>
      </c>
      <c r="I607" s="9" t="s">
        <v>137</v>
      </c>
    </row>
    <row r="608" spans="1:9" x14ac:dyDescent="0.25">
      <c r="E608" s="21">
        <f t="shared" si="10"/>
        <v>0</v>
      </c>
      <c r="I608" s="9"/>
    </row>
    <row r="609" spans="1:9" x14ac:dyDescent="0.25">
      <c r="A609" s="20">
        <v>41502</v>
      </c>
      <c r="B609" s="1">
        <v>0.7909722222222223</v>
      </c>
      <c r="C609" s="1">
        <v>0.81597222222222221</v>
      </c>
      <c r="E609" s="21">
        <f t="shared" si="10"/>
        <v>2.4999999999999911E-2</v>
      </c>
      <c r="I609" s="9" t="s">
        <v>139</v>
      </c>
    </row>
    <row r="610" spans="1:9" x14ac:dyDescent="0.25">
      <c r="A610" s="20">
        <v>41502</v>
      </c>
      <c r="B610" s="1">
        <v>0.88263888888888886</v>
      </c>
      <c r="C610" s="1">
        <v>0.90972222222222221</v>
      </c>
      <c r="E610" s="21">
        <f t="shared" si="10"/>
        <v>2.7083333333333348E-2</v>
      </c>
      <c r="I610" s="9" t="s">
        <v>139</v>
      </c>
    </row>
    <row r="611" spans="1:9" x14ac:dyDescent="0.25">
      <c r="E611" s="21">
        <f t="shared" si="10"/>
        <v>0</v>
      </c>
      <c r="I611" s="9"/>
    </row>
    <row r="612" spans="1:9" x14ac:dyDescent="0.25">
      <c r="A612" s="20">
        <v>41504</v>
      </c>
      <c r="B612" s="1">
        <v>0.94930555555555562</v>
      </c>
      <c r="C612" s="1">
        <v>0.98541666666666661</v>
      </c>
      <c r="E612" s="21">
        <f t="shared" si="10"/>
        <v>3.6111111111110983E-2</v>
      </c>
      <c r="F612" s="25">
        <f>SUM(E612:E620)</f>
        <v>0.33124999999999982</v>
      </c>
      <c r="I612" s="9" t="s">
        <v>139</v>
      </c>
    </row>
    <row r="613" spans="1:9" x14ac:dyDescent="0.25">
      <c r="E613" s="21">
        <f t="shared" si="10"/>
        <v>0</v>
      </c>
      <c r="I613" s="9"/>
    </row>
    <row r="614" spans="1:9" x14ac:dyDescent="0.25">
      <c r="A614" s="20">
        <v>41508</v>
      </c>
      <c r="B614" s="1">
        <v>0.6479166666666667</v>
      </c>
      <c r="C614" s="1">
        <v>0.74791666666666667</v>
      </c>
      <c r="E614" s="21">
        <f t="shared" si="10"/>
        <v>9.9999999999999978E-2</v>
      </c>
      <c r="I614" s="9" t="s">
        <v>140</v>
      </c>
    </row>
    <row r="615" spans="1:9" x14ac:dyDescent="0.25">
      <c r="A615" s="20">
        <v>41508</v>
      </c>
      <c r="B615" s="1">
        <v>0.79027777777777775</v>
      </c>
      <c r="C615" s="1">
        <v>0.82013888888888886</v>
      </c>
      <c r="E615" s="21">
        <f t="shared" si="10"/>
        <v>2.9861111111111116E-2</v>
      </c>
      <c r="I615" s="9" t="s">
        <v>140</v>
      </c>
    </row>
    <row r="616" spans="1:9" x14ac:dyDescent="0.25">
      <c r="A616" s="20">
        <v>41508</v>
      </c>
      <c r="B616" s="1">
        <v>0.83888888888888891</v>
      </c>
      <c r="C616" s="1">
        <v>0.85277777777777775</v>
      </c>
      <c r="E616" s="21">
        <f t="shared" si="10"/>
        <v>1.388888888888884E-2</v>
      </c>
      <c r="I616" s="9" t="s">
        <v>140</v>
      </c>
    </row>
    <row r="617" spans="1:9" x14ac:dyDescent="0.25">
      <c r="A617" s="20">
        <v>41508</v>
      </c>
      <c r="B617" s="1">
        <v>0.90902777777777777</v>
      </c>
      <c r="C617" s="1">
        <v>0.92638888888888893</v>
      </c>
      <c r="E617" s="21">
        <f t="shared" si="10"/>
        <v>1.736111111111116E-2</v>
      </c>
      <c r="I617" s="9" t="s">
        <v>140</v>
      </c>
    </row>
    <row r="618" spans="1:9" x14ac:dyDescent="0.25">
      <c r="E618" s="21">
        <f t="shared" si="10"/>
        <v>0</v>
      </c>
      <c r="I618" s="9"/>
    </row>
    <row r="619" spans="1:9" x14ac:dyDescent="0.25">
      <c r="A619" s="20">
        <v>41510</v>
      </c>
      <c r="B619" s="1">
        <v>0.7270833333333333</v>
      </c>
      <c r="C619" s="1">
        <v>0.81597222222222221</v>
      </c>
      <c r="E619" s="21">
        <f t="shared" si="10"/>
        <v>8.8888888888888906E-2</v>
      </c>
      <c r="I619" s="9" t="s">
        <v>141</v>
      </c>
    </row>
    <row r="620" spans="1:9" x14ac:dyDescent="0.25">
      <c r="A620" s="20">
        <v>41510</v>
      </c>
      <c r="B620" s="1">
        <v>0.85069444444444453</v>
      </c>
      <c r="C620" s="1">
        <v>0.89583333333333337</v>
      </c>
      <c r="D620" s="4">
        <v>5.5555555555555558E-3</v>
      </c>
      <c r="E620" s="21">
        <f t="shared" si="10"/>
        <v>4.513888888888884E-2</v>
      </c>
      <c r="I620" s="9" t="s">
        <v>141</v>
      </c>
    </row>
    <row r="621" spans="1:9" x14ac:dyDescent="0.25">
      <c r="E621" s="21">
        <f t="shared" si="10"/>
        <v>0</v>
      </c>
      <c r="I621" s="9"/>
    </row>
    <row r="622" spans="1:9" x14ac:dyDescent="0.25">
      <c r="A622" s="20">
        <v>41511</v>
      </c>
      <c r="B622" s="1">
        <v>0.87152777777777779</v>
      </c>
      <c r="C622" s="1">
        <v>0.95833333333333337</v>
      </c>
      <c r="E622" s="21">
        <f t="shared" si="10"/>
        <v>8.680555555555558E-2</v>
      </c>
      <c r="F622" s="25">
        <f>SUM(E622:E632)</f>
        <v>0.50902777777777763</v>
      </c>
      <c r="I622" s="9" t="s">
        <v>7</v>
      </c>
    </row>
    <row r="623" spans="1:9" x14ac:dyDescent="0.25">
      <c r="A623" s="20">
        <v>41511</v>
      </c>
      <c r="B623" s="1">
        <f>C622</f>
        <v>0.95833333333333337</v>
      </c>
      <c r="C623" s="1">
        <v>0.99930555555555556</v>
      </c>
      <c r="E623" s="21">
        <f t="shared" si="10"/>
        <v>4.0972222222222188E-2</v>
      </c>
      <c r="I623" s="9" t="s">
        <v>7</v>
      </c>
    </row>
    <row r="624" spans="1:9" x14ac:dyDescent="0.25">
      <c r="E624" s="21">
        <f t="shared" si="10"/>
        <v>0</v>
      </c>
      <c r="I624" s="9"/>
    </row>
    <row r="625" spans="1:11" x14ac:dyDescent="0.25">
      <c r="A625" s="20">
        <v>41512</v>
      </c>
      <c r="B625" s="1">
        <v>0.80694444444444446</v>
      </c>
      <c r="C625" s="1">
        <v>0.82986111111111116</v>
      </c>
      <c r="E625" s="21">
        <f t="shared" si="10"/>
        <v>2.2916666666666696E-2</v>
      </c>
      <c r="I625" s="9" t="s">
        <v>7</v>
      </c>
    </row>
    <row r="626" spans="1:11" x14ac:dyDescent="0.25">
      <c r="A626" s="20">
        <v>41512</v>
      </c>
      <c r="B626" s="1">
        <v>0.84166666666666667</v>
      </c>
      <c r="C626" s="1">
        <v>0.9145833333333333</v>
      </c>
      <c r="D626" s="4">
        <v>1.5277777777777777E-2</v>
      </c>
      <c r="E626" s="21">
        <f t="shared" si="10"/>
        <v>6.5972222222222182E-2</v>
      </c>
      <c r="I626" s="9" t="s">
        <v>7</v>
      </c>
    </row>
    <row r="627" spans="1:11" x14ac:dyDescent="0.25">
      <c r="A627" s="20">
        <v>41512</v>
      </c>
      <c r="B627" s="1">
        <v>0.95000000000000007</v>
      </c>
      <c r="C627" s="1">
        <v>0.99930555555555556</v>
      </c>
      <c r="E627" s="21">
        <f t="shared" si="10"/>
        <v>4.9305555555555491E-2</v>
      </c>
      <c r="I627" s="9" t="s">
        <v>7</v>
      </c>
    </row>
    <row r="628" spans="1:11" x14ac:dyDescent="0.25">
      <c r="A628" s="20">
        <v>41513</v>
      </c>
      <c r="B628" s="1">
        <v>0</v>
      </c>
      <c r="C628" s="1">
        <v>1.8055555555555557E-2</v>
      </c>
      <c r="E628" s="21">
        <f t="shared" si="10"/>
        <v>1.8055555555555557E-2</v>
      </c>
      <c r="I628" s="9" t="s">
        <v>7</v>
      </c>
    </row>
    <row r="629" spans="1:11" x14ac:dyDescent="0.25">
      <c r="E629" s="21">
        <f t="shared" si="10"/>
        <v>0</v>
      </c>
      <c r="I629" s="9"/>
    </row>
    <row r="630" spans="1:11" x14ac:dyDescent="0.25">
      <c r="A630" s="20">
        <v>41517</v>
      </c>
      <c r="B630" s="1">
        <v>0.45069444444444445</v>
      </c>
      <c r="C630" s="1">
        <v>0.54652777777777783</v>
      </c>
      <c r="D630" s="4">
        <v>3.0555555555555555E-2</v>
      </c>
      <c r="E630" s="21">
        <f t="shared" si="10"/>
        <v>7.3611111111111155E-2</v>
      </c>
      <c r="I630" s="9" t="s">
        <v>7</v>
      </c>
    </row>
    <row r="631" spans="1:11" x14ac:dyDescent="0.25">
      <c r="A631" s="20">
        <v>41517</v>
      </c>
      <c r="B631" s="1">
        <v>0.55972222222222223</v>
      </c>
      <c r="C631" s="1">
        <v>0.58888888888888891</v>
      </c>
      <c r="E631" s="21">
        <f t="shared" si="10"/>
        <v>2.9166666666666674E-2</v>
      </c>
      <c r="I631" s="9" t="s">
        <v>7</v>
      </c>
    </row>
    <row r="632" spans="1:11" x14ac:dyDescent="0.25">
      <c r="A632" s="20">
        <v>41517</v>
      </c>
      <c r="B632" s="1">
        <v>0.67638888888888893</v>
      </c>
      <c r="C632" s="1">
        <v>0.8208333333333333</v>
      </c>
      <c r="D632" s="4">
        <v>3.0555555555555555E-2</v>
      </c>
      <c r="E632" s="21">
        <f t="shared" si="10"/>
        <v>0.12222222222222215</v>
      </c>
      <c r="I632" s="9" t="s">
        <v>7</v>
      </c>
      <c r="K632" s="2" t="s">
        <v>142</v>
      </c>
    </row>
    <row r="633" spans="1:11" x14ac:dyDescent="0.25">
      <c r="E633" s="21">
        <f t="shared" si="10"/>
        <v>0</v>
      </c>
      <c r="I633" s="9"/>
    </row>
    <row r="634" spans="1:11" x14ac:dyDescent="0.25">
      <c r="A634" s="20">
        <v>41518</v>
      </c>
      <c r="B634" s="1">
        <v>0.82916666666666661</v>
      </c>
      <c r="C634" s="1">
        <v>0.88888888888888884</v>
      </c>
      <c r="E634" s="21">
        <f t="shared" si="10"/>
        <v>5.9722222222222232E-2</v>
      </c>
      <c r="F634" s="25">
        <f>SUM(E634:E645)</f>
        <v>0.61527777777777726</v>
      </c>
      <c r="I634" s="9" t="s">
        <v>7</v>
      </c>
    </row>
    <row r="635" spans="1:11" x14ac:dyDescent="0.25">
      <c r="E635" s="21">
        <f t="shared" si="10"/>
        <v>0</v>
      </c>
      <c r="I635" s="9"/>
    </row>
    <row r="636" spans="1:11" x14ac:dyDescent="0.25">
      <c r="A636" s="20">
        <v>41519</v>
      </c>
      <c r="B636" s="1">
        <v>0.70486111111111116</v>
      </c>
      <c r="C636" s="1">
        <v>0.81111111111111101</v>
      </c>
      <c r="D636" s="4">
        <v>7.6388888888888886E-3</v>
      </c>
      <c r="E636" s="21">
        <f t="shared" si="10"/>
        <v>0.10624999999999984</v>
      </c>
      <c r="I636" s="9" t="s">
        <v>7</v>
      </c>
      <c r="K636" s="2" t="s">
        <v>143</v>
      </c>
    </row>
    <row r="637" spans="1:11" x14ac:dyDescent="0.25">
      <c r="A637" s="20">
        <v>41519</v>
      </c>
      <c r="B637" s="1">
        <v>0.87638888888888899</v>
      </c>
      <c r="C637" s="1">
        <v>0.94513888888888886</v>
      </c>
      <c r="E637" s="21">
        <f t="shared" si="10"/>
        <v>6.8749999999999867E-2</v>
      </c>
      <c r="I637" s="9" t="s">
        <v>7</v>
      </c>
      <c r="K637" s="2" t="s">
        <v>144</v>
      </c>
    </row>
    <row r="638" spans="1:11" x14ac:dyDescent="0.25">
      <c r="E638" s="21">
        <f t="shared" si="10"/>
        <v>0</v>
      </c>
      <c r="I638" s="9"/>
    </row>
    <row r="639" spans="1:11" x14ac:dyDescent="0.25">
      <c r="A639" s="20">
        <v>41520</v>
      </c>
      <c r="B639" s="1">
        <v>0.82500000000000007</v>
      </c>
      <c r="C639" s="1">
        <v>0.96458333333333324</v>
      </c>
      <c r="E639" s="21">
        <f t="shared" si="10"/>
        <v>0.13958333333333317</v>
      </c>
      <c r="I639" s="9" t="s">
        <v>7</v>
      </c>
      <c r="K639" s="2" t="s">
        <v>145</v>
      </c>
    </row>
    <row r="640" spans="1:11" x14ac:dyDescent="0.25">
      <c r="E640" s="21">
        <f t="shared" si="10"/>
        <v>0</v>
      </c>
      <c r="I640" s="9"/>
    </row>
    <row r="641" spans="1:11" x14ac:dyDescent="0.25">
      <c r="A641" s="20">
        <v>41521</v>
      </c>
      <c r="B641" s="1">
        <v>0.73263888888888884</v>
      </c>
      <c r="C641" s="1">
        <v>0.74305555555555547</v>
      </c>
      <c r="E641" s="21">
        <f t="shared" si="10"/>
        <v>1.041666666666663E-2</v>
      </c>
      <c r="I641" s="3" t="s">
        <v>75</v>
      </c>
      <c r="K641" s="2" t="s">
        <v>146</v>
      </c>
    </row>
    <row r="642" spans="1:11" x14ac:dyDescent="0.25">
      <c r="A642" s="20">
        <v>41521</v>
      </c>
      <c r="B642" s="1">
        <v>0.8666666666666667</v>
      </c>
      <c r="C642" s="1">
        <v>0.97083333333333333</v>
      </c>
      <c r="D642" s="4">
        <v>5.5555555555555558E-3</v>
      </c>
      <c r="E642" s="21">
        <f t="shared" si="10"/>
        <v>0.10416666666666663</v>
      </c>
      <c r="I642" s="9" t="s">
        <v>7</v>
      </c>
    </row>
    <row r="643" spans="1:11" x14ac:dyDescent="0.25">
      <c r="E643" s="21">
        <f t="shared" si="10"/>
        <v>0</v>
      </c>
      <c r="I643" s="9"/>
    </row>
    <row r="644" spans="1:11" x14ac:dyDescent="0.25">
      <c r="A644" s="20">
        <v>41524</v>
      </c>
      <c r="B644" s="1">
        <v>0.60625000000000007</v>
      </c>
      <c r="C644" s="1">
        <v>0.73958333333333337</v>
      </c>
      <c r="D644" s="4">
        <v>1.5277777777777777E-2</v>
      </c>
      <c r="E644" s="21">
        <f t="shared" si="10"/>
        <v>0.12638888888888886</v>
      </c>
      <c r="I644" s="9" t="s">
        <v>7</v>
      </c>
    </row>
    <row r="645" spans="1:11" x14ac:dyDescent="0.25">
      <c r="E645" s="21">
        <f t="shared" si="10"/>
        <v>0</v>
      </c>
      <c r="I645" s="9"/>
    </row>
    <row r="646" spans="1:11" x14ac:dyDescent="0.25">
      <c r="A646" s="20">
        <v>41559</v>
      </c>
      <c r="B646" s="1">
        <v>0.47916666666666669</v>
      </c>
      <c r="C646" s="1">
        <v>0.51041666666666663</v>
      </c>
      <c r="E646" s="21">
        <f>IF(D646&lt;(12/1440),C646-B646,C646-B646-D646+(12/1440))</f>
        <v>3.1249999999999944E-2</v>
      </c>
      <c r="F646" s="25">
        <f>SUM(E646:E648)</f>
        <v>0.22222222222222215</v>
      </c>
      <c r="I646" s="9" t="s">
        <v>7</v>
      </c>
      <c r="K646" s="2" t="s">
        <v>147</v>
      </c>
    </row>
    <row r="647" spans="1:11" x14ac:dyDescent="0.25">
      <c r="A647" s="20">
        <v>41559</v>
      </c>
      <c r="B647" s="1">
        <v>0.58680555555555558</v>
      </c>
      <c r="C647" s="1">
        <v>0.70486111111111116</v>
      </c>
      <c r="E647" s="21">
        <f t="shared" si="10"/>
        <v>0.11805555555555558</v>
      </c>
      <c r="I647" s="9" t="s">
        <v>7</v>
      </c>
    </row>
    <row r="648" spans="1:11" x14ac:dyDescent="0.25">
      <c r="A648" s="20">
        <v>41559</v>
      </c>
      <c r="B648" s="1">
        <v>0.86736111111111114</v>
      </c>
      <c r="C648" s="1">
        <v>0.94027777777777777</v>
      </c>
      <c r="E648" s="21">
        <f t="shared" si="10"/>
        <v>7.291666666666663E-2</v>
      </c>
      <c r="I648" s="9" t="s">
        <v>7</v>
      </c>
    </row>
    <row r="649" spans="1:11" x14ac:dyDescent="0.25">
      <c r="E649" s="21">
        <f t="shared" si="10"/>
        <v>0</v>
      </c>
      <c r="I649" s="9"/>
    </row>
    <row r="650" spans="1:11" x14ac:dyDescent="0.25">
      <c r="A650" s="20">
        <v>41616</v>
      </c>
      <c r="B650" s="1">
        <v>0.7680555555555556</v>
      </c>
      <c r="C650" s="1">
        <v>0.78194444444444444</v>
      </c>
      <c r="E650" s="21">
        <f t="shared" si="10"/>
        <v>1.388888888888884E-2</v>
      </c>
      <c r="F650" s="25">
        <f>SUM(E650:E654)</f>
        <v>3.8194444444444309E-2</v>
      </c>
      <c r="I650" s="3" t="s">
        <v>69</v>
      </c>
      <c r="K650" s="2" t="s">
        <v>149</v>
      </c>
    </row>
    <row r="651" spans="1:11" x14ac:dyDescent="0.25">
      <c r="E651" s="21">
        <f t="shared" si="10"/>
        <v>0</v>
      </c>
    </row>
    <row r="652" spans="1:11" x14ac:dyDescent="0.25">
      <c r="A652" s="20">
        <v>41616</v>
      </c>
      <c r="B652" s="1">
        <v>0.875</v>
      </c>
      <c r="C652" s="1">
        <v>0.89583333333333337</v>
      </c>
      <c r="E652" s="21">
        <f t="shared" si="10"/>
        <v>2.083333333333337E-2</v>
      </c>
      <c r="I652" s="3" t="s">
        <v>69</v>
      </c>
      <c r="K652" s="2" t="s">
        <v>148</v>
      </c>
    </row>
    <row r="653" spans="1:11" x14ac:dyDescent="0.25">
      <c r="E653" s="21">
        <f t="shared" si="10"/>
        <v>0</v>
      </c>
      <c r="I653" s="9"/>
    </row>
    <row r="654" spans="1:11" x14ac:dyDescent="0.25">
      <c r="A654" s="20">
        <v>41614</v>
      </c>
      <c r="B654" s="1">
        <v>0.74513888888888891</v>
      </c>
      <c r="C654" s="1">
        <v>0.74861111111111101</v>
      </c>
      <c r="E654" s="21">
        <f t="shared" si="10"/>
        <v>3.4722222222220989E-3</v>
      </c>
      <c r="I654" s="9" t="s">
        <v>7</v>
      </c>
      <c r="K654" s="2" t="s">
        <v>150</v>
      </c>
    </row>
    <row r="655" spans="1:11" x14ac:dyDescent="0.25">
      <c r="E655" s="21">
        <f t="shared" si="10"/>
        <v>0</v>
      </c>
      <c r="I655" s="9"/>
    </row>
    <row r="656" spans="1:11" x14ac:dyDescent="0.25">
      <c r="A656" s="20">
        <v>41634</v>
      </c>
      <c r="B656" s="1">
        <v>0.45069444444444445</v>
      </c>
      <c r="C656" s="1">
        <v>0.53125</v>
      </c>
      <c r="D656" s="4">
        <v>6.9444444444444441E-3</v>
      </c>
      <c r="E656" s="21">
        <f t="shared" si="10"/>
        <v>8.0555555555555547E-2</v>
      </c>
      <c r="F656" s="25">
        <f>SUM(E656:E666)</f>
        <v>0.44652777777777763</v>
      </c>
      <c r="I656" s="9" t="s">
        <v>7</v>
      </c>
      <c r="K656" s="2" t="s">
        <v>151</v>
      </c>
    </row>
    <row r="657" spans="1:11" x14ac:dyDescent="0.25">
      <c r="A657" s="20">
        <v>41634</v>
      </c>
      <c r="B657" s="1">
        <v>0.67291666666666661</v>
      </c>
      <c r="C657" s="1">
        <v>0.76388888888888884</v>
      </c>
      <c r="E657" s="21">
        <f t="shared" si="10"/>
        <v>9.0972222222222232E-2</v>
      </c>
      <c r="I657" s="9" t="s">
        <v>154</v>
      </c>
      <c r="K657" s="2" t="s">
        <v>152</v>
      </c>
    </row>
    <row r="658" spans="1:11" x14ac:dyDescent="0.25">
      <c r="A658" s="20">
        <v>41634</v>
      </c>
      <c r="B658" s="1">
        <v>0.86458333333333337</v>
      </c>
      <c r="C658" s="1">
        <v>0.90833333333333333</v>
      </c>
      <c r="E658" s="21">
        <f t="shared" si="10"/>
        <v>4.3749999999999956E-2</v>
      </c>
      <c r="I658" s="9" t="s">
        <v>154</v>
      </c>
      <c r="K658" s="2" t="s">
        <v>156</v>
      </c>
    </row>
    <row r="659" spans="1:11" x14ac:dyDescent="0.25">
      <c r="E659" s="21">
        <f t="shared" si="10"/>
        <v>0</v>
      </c>
      <c r="I659" s="9"/>
    </row>
    <row r="660" spans="1:11" x14ac:dyDescent="0.25">
      <c r="A660" s="20">
        <v>41635</v>
      </c>
      <c r="B660" s="1">
        <v>0.45833333333333331</v>
      </c>
      <c r="C660" s="1">
        <v>0.4909722222222222</v>
      </c>
      <c r="E660" s="21">
        <f t="shared" si="10"/>
        <v>3.2638888888888884E-2</v>
      </c>
      <c r="I660" s="9" t="s">
        <v>154</v>
      </c>
      <c r="K660" s="2" t="s">
        <v>155</v>
      </c>
    </row>
    <row r="661" spans="1:11" x14ac:dyDescent="0.25">
      <c r="A661" s="20">
        <v>41635</v>
      </c>
      <c r="B661" s="1">
        <v>0.51250000000000007</v>
      </c>
      <c r="C661" s="1">
        <v>0.52847222222222223</v>
      </c>
      <c r="E661" s="21">
        <f t="shared" si="10"/>
        <v>1.5972222222222165E-2</v>
      </c>
      <c r="I661" s="9" t="s">
        <v>154</v>
      </c>
      <c r="K661" s="2" t="s">
        <v>153</v>
      </c>
    </row>
    <row r="662" spans="1:11" x14ac:dyDescent="0.25">
      <c r="A662" s="20">
        <v>41635</v>
      </c>
      <c r="B662" s="1">
        <v>0.64930555555555558</v>
      </c>
      <c r="C662" s="1">
        <v>0.70000000000000007</v>
      </c>
      <c r="D662" s="4">
        <v>1.3888888888888888E-2</v>
      </c>
      <c r="E662" s="21">
        <f t="shared" si="10"/>
        <v>4.513888888888893E-2</v>
      </c>
      <c r="I662" s="9" t="s">
        <v>154</v>
      </c>
      <c r="K662" s="2" t="s">
        <v>153</v>
      </c>
    </row>
    <row r="663" spans="1:11" x14ac:dyDescent="0.25">
      <c r="E663" s="21">
        <f t="shared" si="10"/>
        <v>0</v>
      </c>
      <c r="I663" s="9"/>
    </row>
    <row r="664" spans="1:11" x14ac:dyDescent="0.25">
      <c r="A664" s="20">
        <v>41636</v>
      </c>
      <c r="B664" s="1">
        <v>0.50694444444444442</v>
      </c>
      <c r="C664" s="1">
        <v>0.54166666666666663</v>
      </c>
      <c r="E664" s="21">
        <f t="shared" si="10"/>
        <v>3.472222222222221E-2</v>
      </c>
      <c r="I664" s="9" t="s">
        <v>154</v>
      </c>
    </row>
    <row r="665" spans="1:11" x14ac:dyDescent="0.25">
      <c r="A665" s="20">
        <v>41636</v>
      </c>
      <c r="B665" s="1">
        <v>0.58402777777777781</v>
      </c>
      <c r="C665" s="1">
        <v>0.66249999999999998</v>
      </c>
      <c r="D665" s="4">
        <v>1.9444444444444445E-2</v>
      </c>
      <c r="E665" s="21">
        <f t="shared" si="10"/>
        <v>6.7361111111111052E-2</v>
      </c>
      <c r="I665" s="9" t="s">
        <v>154</v>
      </c>
    </row>
    <row r="666" spans="1:11" x14ac:dyDescent="0.25">
      <c r="A666" s="20">
        <v>41636</v>
      </c>
      <c r="B666" s="1">
        <v>0.81041666666666667</v>
      </c>
      <c r="C666" s="1">
        <v>0.84583333333333333</v>
      </c>
      <c r="E666" s="21">
        <f t="shared" si="10"/>
        <v>3.5416666666666652E-2</v>
      </c>
      <c r="I666" s="9" t="s">
        <v>154</v>
      </c>
    </row>
    <row r="667" spans="1:11" x14ac:dyDescent="0.25">
      <c r="E667" s="21">
        <f t="shared" si="10"/>
        <v>0</v>
      </c>
      <c r="I667" s="9"/>
    </row>
    <row r="668" spans="1:11" x14ac:dyDescent="0.25">
      <c r="A668" s="20">
        <v>41637</v>
      </c>
      <c r="B668" s="1">
        <v>0.85763888888888884</v>
      </c>
      <c r="C668" s="1">
        <v>0.90416666666666667</v>
      </c>
      <c r="D668" s="4">
        <v>1.7361111111111112E-2</v>
      </c>
      <c r="E668" s="21">
        <f t="shared" si="10"/>
        <v>3.7500000000000054E-2</v>
      </c>
      <c r="F668" s="25">
        <f>SUM(E668:E671)</f>
        <v>0.12708333333333341</v>
      </c>
      <c r="I668" s="9" t="s">
        <v>7</v>
      </c>
      <c r="K668" s="2" t="s">
        <v>157</v>
      </c>
    </row>
    <row r="669" spans="1:11" x14ac:dyDescent="0.25">
      <c r="E669" s="21">
        <f t="shared" si="10"/>
        <v>0</v>
      </c>
      <c r="I669" s="9"/>
    </row>
    <row r="670" spans="1:11" x14ac:dyDescent="0.25">
      <c r="A670" s="20">
        <v>41640</v>
      </c>
      <c r="B670" s="1">
        <v>0.78611111111111109</v>
      </c>
      <c r="C670" s="1">
        <v>0.87152777777777779</v>
      </c>
      <c r="E670" s="21">
        <f t="shared" si="10"/>
        <v>8.5416666666666696E-2</v>
      </c>
      <c r="I670" s="9" t="s">
        <v>7</v>
      </c>
      <c r="K670" s="2" t="s">
        <v>158</v>
      </c>
    </row>
    <row r="671" spans="1:11" x14ac:dyDescent="0.25">
      <c r="A671" s="20">
        <v>41640</v>
      </c>
      <c r="B671" s="1">
        <f>C670</f>
        <v>0.87152777777777779</v>
      </c>
      <c r="C671" s="1">
        <v>0.87569444444444444</v>
      </c>
      <c r="E671" s="21">
        <f t="shared" si="10"/>
        <v>4.1666666666666519E-3</v>
      </c>
      <c r="I671" s="9" t="s">
        <v>7</v>
      </c>
      <c r="K671" s="2" t="s">
        <v>159</v>
      </c>
    </row>
    <row r="672" spans="1:11" x14ac:dyDescent="0.25">
      <c r="E672" s="21">
        <f t="shared" si="10"/>
        <v>0</v>
      </c>
      <c r="I672" s="9"/>
    </row>
    <row r="673" spans="1:11" x14ac:dyDescent="0.25">
      <c r="A673" s="20">
        <v>41733</v>
      </c>
      <c r="B673" s="1">
        <v>0.56458333333333333</v>
      </c>
      <c r="C673" s="1">
        <v>0.56736111111111109</v>
      </c>
      <c r="E673" s="21">
        <f t="shared" si="10"/>
        <v>2.7777777777777679E-3</v>
      </c>
      <c r="F673" s="25">
        <f>SUM(E673:E678)</f>
        <v>0.14583333333333331</v>
      </c>
      <c r="I673" s="9" t="s">
        <v>154</v>
      </c>
    </row>
    <row r="674" spans="1:11" x14ac:dyDescent="0.25">
      <c r="E674" s="21">
        <f t="shared" si="10"/>
        <v>0</v>
      </c>
      <c r="I674" s="9"/>
    </row>
    <row r="675" spans="1:11" x14ac:dyDescent="0.25">
      <c r="A675" s="20">
        <v>41736</v>
      </c>
      <c r="B675" s="1">
        <v>0.57222222222222219</v>
      </c>
      <c r="C675" s="1">
        <v>0.63680555555555551</v>
      </c>
      <c r="D675" s="4">
        <v>1.7361111111111112E-2</v>
      </c>
      <c r="E675" s="21">
        <f t="shared" si="10"/>
        <v>5.5555555555555546E-2</v>
      </c>
      <c r="I675" s="9" t="s">
        <v>154</v>
      </c>
      <c r="K675" s="2" t="s">
        <v>160</v>
      </c>
    </row>
    <row r="676" spans="1:11" x14ac:dyDescent="0.25">
      <c r="E676" s="21">
        <f t="shared" si="10"/>
        <v>0</v>
      </c>
      <c r="I676" s="9"/>
    </row>
    <row r="677" spans="1:11" x14ac:dyDescent="0.25">
      <c r="A677" s="20">
        <v>41737</v>
      </c>
      <c r="B677" s="1">
        <v>0.39027777777777778</v>
      </c>
      <c r="C677" s="1">
        <v>0.44513888888888892</v>
      </c>
      <c r="D677" s="4">
        <v>1.7361111111111112E-2</v>
      </c>
      <c r="E677" s="21">
        <f t="shared" si="10"/>
        <v>4.5833333333333358E-2</v>
      </c>
      <c r="I677" s="9" t="s">
        <v>7</v>
      </c>
      <c r="K677" s="9" t="s">
        <v>161</v>
      </c>
    </row>
    <row r="678" spans="1:11" x14ac:dyDescent="0.25">
      <c r="A678" s="20">
        <v>41737</v>
      </c>
      <c r="B678" s="1">
        <f>C677</f>
        <v>0.44513888888888892</v>
      </c>
      <c r="C678" s="1">
        <v>0.48680555555555555</v>
      </c>
      <c r="E678" s="21">
        <f t="shared" si="10"/>
        <v>4.166666666666663E-2</v>
      </c>
      <c r="I678" s="9" t="s">
        <v>154</v>
      </c>
      <c r="K678" s="2" t="s">
        <v>162</v>
      </c>
    </row>
    <row r="679" spans="1:11" x14ac:dyDescent="0.25">
      <c r="E679" s="21">
        <f t="shared" si="10"/>
        <v>0</v>
      </c>
      <c r="I679" s="9"/>
    </row>
    <row r="680" spans="1:11" x14ac:dyDescent="0.25">
      <c r="A680" s="20">
        <v>41744</v>
      </c>
      <c r="B680" s="1">
        <v>0.71875</v>
      </c>
      <c r="C680" s="1">
        <v>0.80208333333333337</v>
      </c>
      <c r="E680" s="21">
        <f t="shared" si="10"/>
        <v>8.333333333333337E-2</v>
      </c>
      <c r="F680" s="25">
        <f>SUM(E680:E681)</f>
        <v>0.16250000000000009</v>
      </c>
      <c r="I680" s="9" t="s">
        <v>154</v>
      </c>
      <c r="K680" s="2" t="s">
        <v>162</v>
      </c>
    </row>
    <row r="681" spans="1:11" x14ac:dyDescent="0.25">
      <c r="A681" s="20">
        <v>41744</v>
      </c>
      <c r="B681" s="1">
        <v>0.85763888888888884</v>
      </c>
      <c r="C681" s="1">
        <v>0.93680555555555556</v>
      </c>
      <c r="E681" s="21">
        <f t="shared" si="10"/>
        <v>7.9166666666666718E-2</v>
      </c>
      <c r="I681" s="9" t="s">
        <v>7</v>
      </c>
      <c r="K681" s="8" t="s">
        <v>163</v>
      </c>
    </row>
    <row r="682" spans="1:11" x14ac:dyDescent="0.25">
      <c r="E682" s="21">
        <f t="shared" si="10"/>
        <v>0</v>
      </c>
      <c r="I682" s="9"/>
    </row>
    <row r="683" spans="1:11" x14ac:dyDescent="0.25">
      <c r="A683" s="20">
        <v>41750</v>
      </c>
      <c r="B683" s="1">
        <v>0.4916666666666667</v>
      </c>
      <c r="C683" s="1">
        <v>0.49583333333333335</v>
      </c>
      <c r="E683" s="21">
        <f t="shared" ref="E683:E794" si="11">IF(D683&lt;(12/1440),C683-B683,C683-B683-D683+(12/1440))</f>
        <v>4.1666666666666519E-3</v>
      </c>
      <c r="F683" s="25">
        <f>SUM(E683:E706)</f>
        <v>0.49027777777777792</v>
      </c>
      <c r="I683" s="9" t="s">
        <v>69</v>
      </c>
    </row>
    <row r="684" spans="1:11" x14ac:dyDescent="0.25">
      <c r="A684" s="20">
        <v>41750</v>
      </c>
      <c r="B684" s="1">
        <v>0.51666666666666672</v>
      </c>
      <c r="C684" s="1">
        <v>0.5541666666666667</v>
      </c>
      <c r="E684" s="21">
        <f t="shared" si="11"/>
        <v>3.7499999999999978E-2</v>
      </c>
      <c r="I684" s="9" t="s">
        <v>164</v>
      </c>
    </row>
    <row r="685" spans="1:11" x14ac:dyDescent="0.25">
      <c r="A685" s="20">
        <v>41750</v>
      </c>
      <c r="B685" s="1">
        <v>0.5625</v>
      </c>
      <c r="C685" s="1">
        <v>0.59513888888888888</v>
      </c>
      <c r="E685" s="21">
        <f t="shared" si="11"/>
        <v>3.2638888888888884E-2</v>
      </c>
      <c r="I685" s="9" t="s">
        <v>165</v>
      </c>
    </row>
    <row r="686" spans="1:11" x14ac:dyDescent="0.25">
      <c r="A686" s="20">
        <v>41750</v>
      </c>
      <c r="B686" s="1">
        <v>0.65486111111111112</v>
      </c>
      <c r="C686" s="1">
        <v>0.6743055555555556</v>
      </c>
      <c r="E686" s="21">
        <f t="shared" si="11"/>
        <v>1.9444444444444486E-2</v>
      </c>
      <c r="I686" s="9" t="s">
        <v>166</v>
      </c>
    </row>
    <row r="687" spans="1:11" x14ac:dyDescent="0.25">
      <c r="A687" s="20">
        <v>41750</v>
      </c>
      <c r="B687" s="1">
        <v>0.68055555555555547</v>
      </c>
      <c r="C687" s="1">
        <v>0.68680555555555556</v>
      </c>
      <c r="E687" s="21">
        <f t="shared" si="11"/>
        <v>6.2500000000000888E-3</v>
      </c>
      <c r="I687" s="9" t="s">
        <v>164</v>
      </c>
    </row>
    <row r="688" spans="1:11" x14ac:dyDescent="0.25">
      <c r="A688" s="20">
        <v>41750</v>
      </c>
      <c r="B688" s="1">
        <v>0.72083333333333333</v>
      </c>
      <c r="C688" s="1">
        <v>0.72986111111111107</v>
      </c>
      <c r="E688" s="21">
        <f t="shared" si="11"/>
        <v>9.0277777777777457E-3</v>
      </c>
      <c r="I688" s="9" t="s">
        <v>7</v>
      </c>
    </row>
    <row r="689" spans="1:11" x14ac:dyDescent="0.25">
      <c r="A689" s="20">
        <v>41750</v>
      </c>
      <c r="B689" s="1">
        <v>0.79791666666666661</v>
      </c>
      <c r="C689" s="1">
        <v>0.82638888888888884</v>
      </c>
      <c r="E689" s="21">
        <f t="shared" si="11"/>
        <v>2.8472222222222232E-2</v>
      </c>
      <c r="I689" s="9" t="s">
        <v>166</v>
      </c>
    </row>
    <row r="690" spans="1:11" x14ac:dyDescent="0.25">
      <c r="A690" s="20">
        <v>41750</v>
      </c>
      <c r="B690" s="1">
        <v>0.84375</v>
      </c>
      <c r="C690" s="1">
        <v>0.8534722222222223</v>
      </c>
      <c r="E690" s="21">
        <f t="shared" si="11"/>
        <v>9.7222222222222987E-3</v>
      </c>
      <c r="I690" s="9" t="s">
        <v>164</v>
      </c>
      <c r="K690" s="8" t="s">
        <v>168</v>
      </c>
    </row>
    <row r="691" spans="1:11" x14ac:dyDescent="0.25">
      <c r="A691" s="20">
        <v>41750</v>
      </c>
      <c r="B691" s="1">
        <v>0.88541666666666663</v>
      </c>
      <c r="C691" s="1">
        <v>0.89861111111111114</v>
      </c>
      <c r="E691" s="21">
        <f t="shared" si="11"/>
        <v>1.3194444444444509E-2</v>
      </c>
      <c r="I691" s="9" t="s">
        <v>60</v>
      </c>
      <c r="K691" s="8" t="s">
        <v>169</v>
      </c>
    </row>
    <row r="692" spans="1:11" x14ac:dyDescent="0.25">
      <c r="A692" s="20">
        <v>41750</v>
      </c>
      <c r="B692" s="1">
        <f>C691</f>
        <v>0.89861111111111114</v>
      </c>
      <c r="C692" s="1">
        <v>0.91875000000000007</v>
      </c>
      <c r="E692" s="21">
        <f t="shared" si="11"/>
        <v>2.0138888888888928E-2</v>
      </c>
      <c r="I692" s="9" t="s">
        <v>75</v>
      </c>
      <c r="K692" s="8" t="s">
        <v>170</v>
      </c>
    </row>
    <row r="693" spans="1:11" x14ac:dyDescent="0.25">
      <c r="E693" s="21">
        <f t="shared" si="11"/>
        <v>0</v>
      </c>
      <c r="I693" s="9"/>
    </row>
    <row r="694" spans="1:11" x14ac:dyDescent="0.25">
      <c r="A694" s="20">
        <v>41751</v>
      </c>
      <c r="B694" s="1">
        <v>0.36805555555555558</v>
      </c>
      <c r="C694" s="1">
        <v>0.3756944444444445</v>
      </c>
      <c r="E694" s="21">
        <f t="shared" si="11"/>
        <v>7.6388888888889173E-3</v>
      </c>
      <c r="I694" s="9" t="s">
        <v>164</v>
      </c>
      <c r="K694" s="8" t="s">
        <v>171</v>
      </c>
    </row>
    <row r="695" spans="1:11" x14ac:dyDescent="0.25">
      <c r="A695" s="20">
        <v>41751</v>
      </c>
      <c r="B695" s="1">
        <f>C694</f>
        <v>0.3756944444444445</v>
      </c>
      <c r="C695" s="1">
        <v>0.44027777777777777</v>
      </c>
      <c r="E695" s="21">
        <f>IF(D695&lt;(12/1440),C695-B695,C695-B695-D695+(12/1440))</f>
        <v>6.458333333333327E-2</v>
      </c>
      <c r="I695" s="9" t="s">
        <v>166</v>
      </c>
    </row>
    <row r="696" spans="1:11" x14ac:dyDescent="0.25">
      <c r="A696" s="20">
        <v>41751</v>
      </c>
      <c r="B696" s="1">
        <v>0.4465277777777778</v>
      </c>
      <c r="C696" s="1">
        <v>0.47291666666666665</v>
      </c>
      <c r="E696" s="21">
        <f t="shared" si="11"/>
        <v>2.6388888888888851E-2</v>
      </c>
      <c r="I696" s="9" t="s">
        <v>166</v>
      </c>
    </row>
    <row r="697" spans="1:11" x14ac:dyDescent="0.25">
      <c r="A697" s="20">
        <v>41751</v>
      </c>
      <c r="B697" s="1">
        <v>0.73263888888888884</v>
      </c>
      <c r="C697" s="1">
        <v>0.79166666666666663</v>
      </c>
      <c r="E697" s="21">
        <f t="shared" si="11"/>
        <v>5.902777777777779E-2</v>
      </c>
      <c r="I697" s="9" t="s">
        <v>172</v>
      </c>
    </row>
    <row r="698" spans="1:11" x14ac:dyDescent="0.25">
      <c r="A698" s="20">
        <v>41751</v>
      </c>
      <c r="B698" s="1">
        <f>C697</f>
        <v>0.79166666666666663</v>
      </c>
      <c r="C698" s="1">
        <v>0.83819444444444446</v>
      </c>
      <c r="E698" s="21">
        <f t="shared" si="11"/>
        <v>4.6527777777777835E-2</v>
      </c>
      <c r="I698" s="9" t="s">
        <v>173</v>
      </c>
    </row>
    <row r="699" spans="1:11" x14ac:dyDescent="0.25">
      <c r="E699" s="21">
        <f t="shared" si="11"/>
        <v>0</v>
      </c>
      <c r="I699" s="9"/>
    </row>
    <row r="700" spans="1:11" x14ac:dyDescent="0.25">
      <c r="A700" s="20">
        <v>41752</v>
      </c>
      <c r="B700" s="1">
        <v>0.29166666666666669</v>
      </c>
      <c r="C700" s="1">
        <v>0.9375</v>
      </c>
      <c r="I700" s="9" t="s">
        <v>175</v>
      </c>
      <c r="J700" s="16" t="s">
        <v>174</v>
      </c>
    </row>
    <row r="701" spans="1:11" x14ac:dyDescent="0.25">
      <c r="E701" s="21">
        <f t="shared" si="11"/>
        <v>0</v>
      </c>
      <c r="I701" s="9"/>
    </row>
    <row r="702" spans="1:11" x14ac:dyDescent="0.25">
      <c r="A702" s="20">
        <v>41753</v>
      </c>
      <c r="B702" s="1">
        <v>0.37152777777777773</v>
      </c>
      <c r="C702" s="1">
        <v>0.41597222222222219</v>
      </c>
      <c r="E702" s="21">
        <f t="shared" si="11"/>
        <v>4.4444444444444453E-2</v>
      </c>
      <c r="I702" s="9" t="s">
        <v>176</v>
      </c>
    </row>
    <row r="703" spans="1:11" x14ac:dyDescent="0.25">
      <c r="A703" s="20">
        <v>41753</v>
      </c>
      <c r="B703" s="1">
        <v>0.45833333333333331</v>
      </c>
      <c r="C703" s="1">
        <v>0.46875</v>
      </c>
      <c r="I703" s="9" t="s">
        <v>177</v>
      </c>
      <c r="J703" s="16" t="s">
        <v>174</v>
      </c>
    </row>
    <row r="704" spans="1:11" x14ac:dyDescent="0.25">
      <c r="A704" s="20">
        <v>41753</v>
      </c>
      <c r="B704" s="1">
        <v>0.52083333333333337</v>
      </c>
      <c r="C704" s="1">
        <v>0.54166666666666663</v>
      </c>
      <c r="I704" s="9" t="s">
        <v>177</v>
      </c>
      <c r="J704" s="16" t="s">
        <v>174</v>
      </c>
    </row>
    <row r="705" spans="1:11" x14ac:dyDescent="0.25">
      <c r="A705" s="20">
        <v>41753</v>
      </c>
      <c r="B705" s="1">
        <v>0.58333333333333337</v>
      </c>
      <c r="C705" s="1">
        <v>0.60763888888888895</v>
      </c>
      <c r="I705" s="9" t="s">
        <v>177</v>
      </c>
      <c r="J705" s="16" t="s">
        <v>174</v>
      </c>
    </row>
    <row r="706" spans="1:11" x14ac:dyDescent="0.25">
      <c r="A706" s="20">
        <v>41753</v>
      </c>
      <c r="B706" s="1">
        <v>0.625</v>
      </c>
      <c r="C706" s="1">
        <v>0.68611111111111101</v>
      </c>
      <c r="E706" s="21">
        <f t="shared" si="11"/>
        <v>6.1111111111111005E-2</v>
      </c>
      <c r="I706" s="9" t="s">
        <v>172</v>
      </c>
      <c r="J706" s="16"/>
    </row>
    <row r="707" spans="1:11" x14ac:dyDescent="0.25">
      <c r="I707" s="9"/>
      <c r="J707" s="16"/>
    </row>
    <row r="708" spans="1:11" x14ac:dyDescent="0.25">
      <c r="A708" s="20">
        <v>41757</v>
      </c>
      <c r="B708" s="1">
        <v>0.33333333333333331</v>
      </c>
      <c r="C708" s="1">
        <v>0.83333333333333337</v>
      </c>
      <c r="F708" s="25">
        <f>SUM(E708:E734)</f>
        <v>1.1312500000000001</v>
      </c>
      <c r="I708" s="9" t="s">
        <v>179</v>
      </c>
      <c r="J708" s="16" t="s">
        <v>174</v>
      </c>
    </row>
    <row r="709" spans="1:11" x14ac:dyDescent="0.25">
      <c r="E709" s="21">
        <f t="shared" si="11"/>
        <v>0</v>
      </c>
      <c r="I709" s="9"/>
      <c r="J709" s="16"/>
    </row>
    <row r="710" spans="1:11" x14ac:dyDescent="0.25">
      <c r="A710" s="20">
        <v>41758</v>
      </c>
      <c r="B710" s="1">
        <v>0.47916666666666669</v>
      </c>
      <c r="C710" s="1">
        <v>0.5</v>
      </c>
      <c r="E710" s="21">
        <f t="shared" si="11"/>
        <v>2.0833333333333315E-2</v>
      </c>
      <c r="I710" s="9" t="s">
        <v>13</v>
      </c>
      <c r="J710" s="16"/>
      <c r="K710" s="2" t="s">
        <v>178</v>
      </c>
    </row>
    <row r="711" spans="1:11" x14ac:dyDescent="0.25">
      <c r="A711" s="20">
        <v>41758</v>
      </c>
      <c r="B711" s="1">
        <v>0.7597222222222223</v>
      </c>
      <c r="C711" s="1">
        <v>0.78819444444444453</v>
      </c>
      <c r="D711" s="4">
        <v>2.0833333333333333E-3</v>
      </c>
      <c r="E711" s="21">
        <f t="shared" si="11"/>
        <v>2.8472222222222232E-2</v>
      </c>
      <c r="I711" s="9" t="s">
        <v>172</v>
      </c>
      <c r="J711" s="16"/>
      <c r="K711" s="2" t="s">
        <v>180</v>
      </c>
    </row>
    <row r="712" spans="1:11" x14ac:dyDescent="0.25">
      <c r="A712" s="20">
        <v>41758</v>
      </c>
      <c r="B712" s="1">
        <v>0.8534722222222223</v>
      </c>
      <c r="C712" s="1">
        <v>0.87847222222222221</v>
      </c>
      <c r="E712" s="21">
        <f t="shared" si="11"/>
        <v>2.4999999999999911E-2</v>
      </c>
      <c r="I712" s="9" t="s">
        <v>7</v>
      </c>
      <c r="J712" s="16"/>
      <c r="K712" s="2" t="s">
        <v>180</v>
      </c>
    </row>
    <row r="713" spans="1:11" x14ac:dyDescent="0.25">
      <c r="E713" s="21">
        <f t="shared" si="11"/>
        <v>0</v>
      </c>
      <c r="I713" s="9"/>
      <c r="J713" s="16"/>
    </row>
    <row r="714" spans="1:11" x14ac:dyDescent="0.25">
      <c r="A714" s="20">
        <v>41759</v>
      </c>
      <c r="B714" s="1">
        <v>0.2298611111111111</v>
      </c>
      <c r="C714" s="1">
        <v>0.25694444444444448</v>
      </c>
      <c r="E714" s="21">
        <f t="shared" si="11"/>
        <v>2.7083333333333376E-2</v>
      </c>
      <c r="I714" s="9" t="s">
        <v>7</v>
      </c>
    </row>
    <row r="715" spans="1:11" x14ac:dyDescent="0.25">
      <c r="A715" s="20">
        <v>41759</v>
      </c>
      <c r="B715" s="1">
        <v>0.39583333333333331</v>
      </c>
      <c r="C715" s="1">
        <v>0.40625</v>
      </c>
      <c r="E715" s="21">
        <f t="shared" si="11"/>
        <v>1.0416666666666685E-2</v>
      </c>
      <c r="I715" s="9" t="s">
        <v>7</v>
      </c>
    </row>
    <row r="716" spans="1:11" x14ac:dyDescent="0.25">
      <c r="A716" s="20">
        <v>41759</v>
      </c>
      <c r="B716" s="1">
        <f>C715</f>
        <v>0.40625</v>
      </c>
      <c r="C716" s="1">
        <v>0.46180555555555558</v>
      </c>
      <c r="D716" s="4">
        <v>1.5972222222222224E-2</v>
      </c>
      <c r="E716" s="21">
        <f t="shared" si="11"/>
        <v>4.7916666666666691E-2</v>
      </c>
      <c r="I716" s="9" t="s">
        <v>7</v>
      </c>
      <c r="K716" s="8" t="s">
        <v>181</v>
      </c>
    </row>
    <row r="717" spans="1:11" x14ac:dyDescent="0.25">
      <c r="A717" s="20">
        <v>41759</v>
      </c>
      <c r="B717" s="1">
        <v>0.48958333333333331</v>
      </c>
      <c r="C717" s="1">
        <v>0.5493055555555556</v>
      </c>
      <c r="E717" s="21">
        <f t="shared" si="11"/>
        <v>5.9722222222222288E-2</v>
      </c>
      <c r="I717" s="9" t="s">
        <v>7</v>
      </c>
      <c r="K717" s="8" t="s">
        <v>182</v>
      </c>
    </row>
    <row r="718" spans="1:11" x14ac:dyDescent="0.25">
      <c r="A718" s="20">
        <v>41759</v>
      </c>
      <c r="B718" s="1">
        <v>0.57291666666666663</v>
      </c>
      <c r="C718" s="1">
        <v>0.59722222222222221</v>
      </c>
      <c r="E718" s="21">
        <f t="shared" si="11"/>
        <v>2.430555555555558E-2</v>
      </c>
      <c r="I718" s="9" t="s">
        <v>7</v>
      </c>
      <c r="K718" s="8" t="s">
        <v>183</v>
      </c>
    </row>
    <row r="719" spans="1:11" x14ac:dyDescent="0.25">
      <c r="A719" s="20">
        <v>41759</v>
      </c>
      <c r="B719" s="1">
        <v>0.61319444444444449</v>
      </c>
      <c r="C719" s="1">
        <v>0.6777777777777777</v>
      </c>
      <c r="D719" s="4">
        <v>1.1111111111111112E-2</v>
      </c>
      <c r="E719" s="21">
        <f t="shared" si="11"/>
        <v>6.1805555555555433E-2</v>
      </c>
      <c r="I719" s="9" t="s">
        <v>7</v>
      </c>
    </row>
    <row r="720" spans="1:11" x14ac:dyDescent="0.25">
      <c r="E720" s="21">
        <f t="shared" si="11"/>
        <v>0</v>
      </c>
      <c r="I720" s="9"/>
    </row>
    <row r="721" spans="1:11" x14ac:dyDescent="0.25">
      <c r="A721" s="20">
        <v>41760</v>
      </c>
      <c r="B721" s="1">
        <v>0.46458333333333335</v>
      </c>
      <c r="C721" s="1">
        <v>0.47361111111111115</v>
      </c>
      <c r="E721" s="21">
        <f t="shared" si="11"/>
        <v>9.0277777777778012E-3</v>
      </c>
      <c r="I721" s="9" t="s">
        <v>7</v>
      </c>
    </row>
    <row r="722" spans="1:11" x14ac:dyDescent="0.25">
      <c r="A722" s="20">
        <v>41760</v>
      </c>
      <c r="B722" s="1">
        <f>C721</f>
        <v>0.47361111111111115</v>
      </c>
      <c r="C722" s="1">
        <v>0.51944444444444449</v>
      </c>
      <c r="E722" s="21">
        <f t="shared" si="11"/>
        <v>4.5833333333333337E-2</v>
      </c>
      <c r="I722" s="9" t="s">
        <v>13</v>
      </c>
      <c r="K722" s="8" t="s">
        <v>184</v>
      </c>
    </row>
    <row r="723" spans="1:11" x14ac:dyDescent="0.25">
      <c r="A723" s="20">
        <v>41760</v>
      </c>
      <c r="B723" s="1">
        <f>C722</f>
        <v>0.51944444444444449</v>
      </c>
      <c r="C723" s="1">
        <v>0.56874999999999998</v>
      </c>
      <c r="I723" s="9" t="s">
        <v>185</v>
      </c>
      <c r="J723" s="16" t="s">
        <v>174</v>
      </c>
      <c r="K723" s="8" t="s">
        <v>186</v>
      </c>
    </row>
    <row r="724" spans="1:11" x14ac:dyDescent="0.25">
      <c r="A724" s="20">
        <v>41760</v>
      </c>
      <c r="B724" s="1">
        <f>C723</f>
        <v>0.56874999999999998</v>
      </c>
      <c r="C724" s="1">
        <v>0.82500000000000007</v>
      </c>
      <c r="D724" s="4">
        <v>5.2777777777777778E-2</v>
      </c>
      <c r="E724" s="21">
        <f t="shared" si="11"/>
        <v>0.21180555555555564</v>
      </c>
      <c r="I724" s="9" t="s">
        <v>7</v>
      </c>
      <c r="K724" s="8" t="s">
        <v>183</v>
      </c>
    </row>
    <row r="725" spans="1:11" x14ac:dyDescent="0.25">
      <c r="A725" s="20">
        <v>41760</v>
      </c>
      <c r="B725" s="1">
        <v>0.85972222222222217</v>
      </c>
      <c r="C725" s="1">
        <v>0.93263888888888891</v>
      </c>
      <c r="E725" s="21">
        <f t="shared" si="11"/>
        <v>7.2916666666666741E-2</v>
      </c>
      <c r="I725" s="9" t="s">
        <v>7</v>
      </c>
      <c r="K725" s="8" t="s">
        <v>183</v>
      </c>
    </row>
    <row r="726" spans="1:11" x14ac:dyDescent="0.25">
      <c r="A726" s="20">
        <v>41760</v>
      </c>
      <c r="B726" s="1">
        <v>0.97499999999999998</v>
      </c>
      <c r="C726" s="1">
        <v>0.99375000000000002</v>
      </c>
      <c r="E726" s="21">
        <f t="shared" si="11"/>
        <v>1.8750000000000044E-2</v>
      </c>
      <c r="I726" s="9" t="s">
        <v>7</v>
      </c>
      <c r="K726" s="8" t="s">
        <v>187</v>
      </c>
    </row>
    <row r="727" spans="1:11" x14ac:dyDescent="0.25">
      <c r="E727" s="21">
        <f t="shared" si="11"/>
        <v>0</v>
      </c>
      <c r="I727" s="9"/>
    </row>
    <row r="728" spans="1:11" x14ac:dyDescent="0.25">
      <c r="A728" s="20">
        <v>41761</v>
      </c>
      <c r="B728" s="1">
        <v>0.40972222222222227</v>
      </c>
      <c r="C728" s="1">
        <v>0.51180555555555551</v>
      </c>
      <c r="I728" s="9" t="s">
        <v>185</v>
      </c>
      <c r="J728" s="16" t="s">
        <v>174</v>
      </c>
    </row>
    <row r="729" spans="1:11" x14ac:dyDescent="0.25">
      <c r="A729" s="20">
        <v>41761</v>
      </c>
      <c r="B729" s="1">
        <f>C728</f>
        <v>0.51180555555555551</v>
      </c>
      <c r="C729" s="1">
        <v>0.68055555555555547</v>
      </c>
      <c r="D729" s="4">
        <v>1.0416666666666666E-2</v>
      </c>
      <c r="E729" s="21">
        <f t="shared" si="11"/>
        <v>0.16666666666666663</v>
      </c>
      <c r="I729" s="9" t="s">
        <v>7</v>
      </c>
      <c r="K729" s="8" t="s">
        <v>183</v>
      </c>
    </row>
    <row r="730" spans="1:11" x14ac:dyDescent="0.25">
      <c r="E730" s="21">
        <f t="shared" si="11"/>
        <v>0</v>
      </c>
      <c r="I730" s="9"/>
    </row>
    <row r="731" spans="1:11" x14ac:dyDescent="0.25">
      <c r="A731" s="20">
        <v>41762</v>
      </c>
      <c r="B731" s="1">
        <v>0.48888888888888887</v>
      </c>
      <c r="C731" s="1">
        <v>0.51458333333333328</v>
      </c>
      <c r="E731" s="21">
        <f t="shared" si="11"/>
        <v>2.5694444444444409E-2</v>
      </c>
      <c r="I731" s="9" t="s">
        <v>7</v>
      </c>
      <c r="K731" s="8" t="s">
        <v>183</v>
      </c>
    </row>
    <row r="732" spans="1:11" x14ac:dyDescent="0.25">
      <c r="A732" s="20">
        <v>41762</v>
      </c>
      <c r="B732" s="1">
        <v>0.52430555555555558</v>
      </c>
      <c r="C732" s="1">
        <v>0.59791666666666665</v>
      </c>
      <c r="E732" s="21">
        <f t="shared" si="11"/>
        <v>7.3611111111111072E-2</v>
      </c>
      <c r="I732" s="9" t="s">
        <v>7</v>
      </c>
      <c r="K732" s="8" t="s">
        <v>188</v>
      </c>
    </row>
    <row r="733" spans="1:11" x14ac:dyDescent="0.25">
      <c r="A733" s="20">
        <v>41762</v>
      </c>
      <c r="B733" s="1">
        <f>C732</f>
        <v>0.59791666666666665</v>
      </c>
      <c r="C733" s="1">
        <v>0.78749999999999998</v>
      </c>
      <c r="D733" s="4">
        <v>2.4305555555555556E-2</v>
      </c>
      <c r="E733" s="21">
        <f t="shared" si="11"/>
        <v>0.1736111111111111</v>
      </c>
      <c r="I733" s="9" t="s">
        <v>7</v>
      </c>
      <c r="K733" s="8" t="s">
        <v>189</v>
      </c>
    </row>
    <row r="734" spans="1:11" x14ac:dyDescent="0.25">
      <c r="A734" s="20">
        <v>41762</v>
      </c>
      <c r="B734" s="1">
        <v>0.89236111111111116</v>
      </c>
      <c r="C734" s="1">
        <v>0.92013888888888884</v>
      </c>
      <c r="E734" s="21">
        <f t="shared" si="11"/>
        <v>2.7777777777777679E-2</v>
      </c>
      <c r="I734" s="9" t="s">
        <v>7</v>
      </c>
      <c r="K734" s="8" t="s">
        <v>189</v>
      </c>
    </row>
    <row r="735" spans="1:11" x14ac:dyDescent="0.25">
      <c r="I735" s="9"/>
      <c r="K735" s="8"/>
    </row>
    <row r="736" spans="1:11" x14ac:dyDescent="0.25">
      <c r="A736" s="20">
        <v>41763</v>
      </c>
      <c r="B736" s="1">
        <v>0.83888888888888891</v>
      </c>
      <c r="C736" s="1">
        <v>0.89513888888888893</v>
      </c>
      <c r="D736" s="4">
        <v>1.7361111111111112E-2</v>
      </c>
      <c r="E736" s="21">
        <f t="shared" si="11"/>
        <v>4.7222222222222242E-2</v>
      </c>
      <c r="F736" s="25">
        <f>SUM(E736:E778)</f>
        <v>1.6666666666666667</v>
      </c>
      <c r="G736" s="9" t="s">
        <v>200</v>
      </c>
      <c r="I736" s="9" t="s">
        <v>190</v>
      </c>
      <c r="K736" s="8" t="s">
        <v>191</v>
      </c>
    </row>
    <row r="737" spans="1:11" x14ac:dyDescent="0.25">
      <c r="A737" s="20">
        <v>41763</v>
      </c>
      <c r="B737" s="1">
        <v>0.92013888888888884</v>
      </c>
      <c r="C737" s="1">
        <v>0.9458333333333333</v>
      </c>
      <c r="E737" s="21">
        <f t="shared" si="11"/>
        <v>2.5694444444444464E-2</v>
      </c>
      <c r="G737" s="9" t="s">
        <v>200</v>
      </c>
      <c r="I737" s="9" t="s">
        <v>190</v>
      </c>
      <c r="K737" s="8" t="s">
        <v>192</v>
      </c>
    </row>
    <row r="738" spans="1:11" x14ac:dyDescent="0.25">
      <c r="E738" s="21">
        <f t="shared" si="11"/>
        <v>0</v>
      </c>
      <c r="I738" s="9"/>
      <c r="K738" s="8"/>
    </row>
    <row r="739" spans="1:11" x14ac:dyDescent="0.25">
      <c r="A739" s="20">
        <v>41764</v>
      </c>
      <c r="B739" s="1">
        <v>0.41666666666666669</v>
      </c>
      <c r="C739" s="1">
        <v>0.44513888888888892</v>
      </c>
      <c r="E739" s="21">
        <f t="shared" si="11"/>
        <v>2.8472222222222232E-2</v>
      </c>
      <c r="G739" s="9" t="s">
        <v>199</v>
      </c>
      <c r="I739" s="9" t="s">
        <v>13</v>
      </c>
      <c r="K739" s="8"/>
    </row>
    <row r="740" spans="1:11" x14ac:dyDescent="0.25">
      <c r="A740" s="20">
        <v>41764</v>
      </c>
      <c r="B740" s="1">
        <f>C739</f>
        <v>0.44513888888888892</v>
      </c>
      <c r="C740" s="1">
        <v>0.50763888888888886</v>
      </c>
      <c r="E740" s="21">
        <f t="shared" si="11"/>
        <v>6.2499999999999944E-2</v>
      </c>
      <c r="G740" s="9" t="s">
        <v>198</v>
      </c>
      <c r="I740" s="9" t="s">
        <v>7</v>
      </c>
      <c r="K740" s="8" t="s">
        <v>193</v>
      </c>
    </row>
    <row r="741" spans="1:11" x14ac:dyDescent="0.25">
      <c r="A741" s="20">
        <v>41764</v>
      </c>
      <c r="B741" s="1">
        <v>0.53333333333333333</v>
      </c>
      <c r="C741" s="1">
        <v>0.57013888888888886</v>
      </c>
      <c r="E741" s="21">
        <f t="shared" si="11"/>
        <v>3.6805555555555536E-2</v>
      </c>
      <c r="G741" s="9" t="s">
        <v>198</v>
      </c>
      <c r="I741" s="9" t="s">
        <v>7</v>
      </c>
      <c r="K741" s="8"/>
    </row>
    <row r="742" spans="1:11" x14ac:dyDescent="0.25">
      <c r="A742" s="20">
        <v>41764</v>
      </c>
      <c r="B742" s="1">
        <f>C741</f>
        <v>0.57013888888888886</v>
      </c>
      <c r="C742" s="1">
        <v>0.66805555555555562</v>
      </c>
      <c r="G742" s="3" t="s">
        <v>204</v>
      </c>
      <c r="I742" s="9" t="s">
        <v>205</v>
      </c>
      <c r="J742" s="15" t="s">
        <v>174</v>
      </c>
      <c r="K742" s="8" t="s">
        <v>206</v>
      </c>
    </row>
    <row r="743" spans="1:11" x14ac:dyDescent="0.25">
      <c r="A743" s="20">
        <v>41764</v>
      </c>
      <c r="B743" s="1">
        <f>C742</f>
        <v>0.66805555555555562</v>
      </c>
      <c r="C743" s="1">
        <v>0.70972222222222225</v>
      </c>
      <c r="E743" s="21">
        <f t="shared" si="11"/>
        <v>4.166666666666663E-2</v>
      </c>
      <c r="G743" s="3" t="s">
        <v>198</v>
      </c>
      <c r="I743" s="9" t="s">
        <v>7</v>
      </c>
      <c r="K743" s="8"/>
    </row>
    <row r="744" spans="1:11" x14ac:dyDescent="0.25">
      <c r="A744" s="20">
        <v>41764</v>
      </c>
      <c r="B744" s="1">
        <f>C743</f>
        <v>0.70972222222222225</v>
      </c>
      <c r="C744" s="1">
        <v>0.73333333333333339</v>
      </c>
      <c r="E744" s="21">
        <f t="shared" si="11"/>
        <v>2.3611111111111138E-2</v>
      </c>
      <c r="G744" s="3" t="s">
        <v>199</v>
      </c>
      <c r="I744" s="9" t="s">
        <v>65</v>
      </c>
      <c r="K744" s="8" t="s">
        <v>207</v>
      </c>
    </row>
    <row r="745" spans="1:11" x14ac:dyDescent="0.25">
      <c r="A745" s="20">
        <v>41764</v>
      </c>
      <c r="B745" s="1">
        <f>C744</f>
        <v>0.73333333333333339</v>
      </c>
      <c r="C745" s="1">
        <v>0.76874999999999993</v>
      </c>
      <c r="D745" s="4">
        <v>1.2499999999999999E-2</v>
      </c>
      <c r="E745" s="21">
        <f t="shared" si="11"/>
        <v>3.1249999999999875E-2</v>
      </c>
      <c r="G745" s="3" t="s">
        <v>198</v>
      </c>
      <c r="I745" s="9" t="s">
        <v>7</v>
      </c>
      <c r="K745" s="8"/>
    </row>
    <row r="746" spans="1:11" x14ac:dyDescent="0.25">
      <c r="A746" s="20">
        <v>41764</v>
      </c>
      <c r="B746" s="1">
        <v>0.80902777777777779</v>
      </c>
      <c r="C746" s="1">
        <v>0.83472222222222225</v>
      </c>
      <c r="E746" s="21">
        <f t="shared" si="11"/>
        <v>2.5694444444444464E-2</v>
      </c>
      <c r="G746" s="3" t="s">
        <v>198</v>
      </c>
      <c r="I746" s="9" t="s">
        <v>7</v>
      </c>
      <c r="K746" s="8"/>
    </row>
    <row r="747" spans="1:11" x14ac:dyDescent="0.25">
      <c r="A747" s="20">
        <v>41764</v>
      </c>
      <c r="B747" s="1">
        <v>0.87291666666666667</v>
      </c>
      <c r="C747" s="1">
        <v>0.94305555555555554</v>
      </c>
      <c r="D747" s="4">
        <v>3.472222222222222E-3</v>
      </c>
      <c r="E747" s="21">
        <f t="shared" si="11"/>
        <v>7.0138888888888862E-2</v>
      </c>
      <c r="G747" s="3" t="s">
        <v>198</v>
      </c>
      <c r="I747" s="9" t="s">
        <v>7</v>
      </c>
      <c r="K747" s="8"/>
    </row>
    <row r="748" spans="1:11" x14ac:dyDescent="0.25">
      <c r="E748" s="21">
        <f t="shared" si="11"/>
        <v>0</v>
      </c>
      <c r="I748" s="9"/>
      <c r="K748" s="8"/>
    </row>
    <row r="749" spans="1:11" x14ac:dyDescent="0.25">
      <c r="A749" s="20">
        <v>41765</v>
      </c>
      <c r="B749" s="1">
        <v>2.9861111111111113E-2</v>
      </c>
      <c r="C749" s="1">
        <v>5.5555555555555552E-2</v>
      </c>
      <c r="E749" s="21">
        <f t="shared" si="11"/>
        <v>2.569444444444444E-2</v>
      </c>
      <c r="G749" s="3" t="s">
        <v>198</v>
      </c>
      <c r="I749" s="9" t="s">
        <v>7</v>
      </c>
      <c r="K749" s="8"/>
    </row>
    <row r="750" spans="1:11" x14ac:dyDescent="0.25">
      <c r="A750" s="20">
        <v>41765</v>
      </c>
      <c r="B750" s="1">
        <v>0.39583333333333331</v>
      </c>
      <c r="C750" s="1">
        <v>0.41666666666666669</v>
      </c>
      <c r="E750" s="21">
        <f t="shared" si="11"/>
        <v>2.083333333333337E-2</v>
      </c>
      <c r="G750" s="3" t="s">
        <v>199</v>
      </c>
      <c r="I750" s="9" t="s">
        <v>208</v>
      </c>
      <c r="K750" s="8" t="s">
        <v>211</v>
      </c>
    </row>
    <row r="751" spans="1:11" x14ac:dyDescent="0.25">
      <c r="A751" s="20">
        <v>41765</v>
      </c>
      <c r="B751" s="1">
        <v>0.55555555555555558</v>
      </c>
      <c r="C751" s="1">
        <v>0.59930555555555554</v>
      </c>
      <c r="E751" s="21">
        <f t="shared" si="11"/>
        <v>4.3749999999999956E-2</v>
      </c>
      <c r="G751" s="3" t="s">
        <v>203</v>
      </c>
      <c r="I751" s="9" t="s">
        <v>7</v>
      </c>
      <c r="K751" s="8" t="s">
        <v>209</v>
      </c>
    </row>
    <row r="752" spans="1:11" x14ac:dyDescent="0.25">
      <c r="A752" s="20">
        <v>41765</v>
      </c>
      <c r="B752" s="1">
        <v>0.70624999999999993</v>
      </c>
      <c r="C752" s="1">
        <v>0.75277777777777777</v>
      </c>
      <c r="D752" s="4">
        <v>8.3333333333333332E-3</v>
      </c>
      <c r="E752" s="21">
        <f t="shared" si="11"/>
        <v>4.6527777777777835E-2</v>
      </c>
      <c r="G752" s="3" t="s">
        <v>198</v>
      </c>
      <c r="I752" s="9" t="s">
        <v>7</v>
      </c>
      <c r="K752" s="8"/>
    </row>
    <row r="753" spans="1:11" x14ac:dyDescent="0.25">
      <c r="A753" s="20">
        <v>41765</v>
      </c>
      <c r="B753" s="1">
        <v>0.77708333333333324</v>
      </c>
      <c r="C753" s="1">
        <v>0.77916666666666667</v>
      </c>
      <c r="E753" s="21">
        <f t="shared" si="11"/>
        <v>2.083333333333437E-3</v>
      </c>
      <c r="G753" s="3" t="s">
        <v>198</v>
      </c>
      <c r="I753" s="9" t="s">
        <v>7</v>
      </c>
      <c r="K753" s="8"/>
    </row>
    <row r="754" spans="1:11" x14ac:dyDescent="0.25">
      <c r="A754" s="20">
        <v>41765</v>
      </c>
      <c r="B754" s="1">
        <v>0.9375</v>
      </c>
      <c r="C754" s="1">
        <v>0.9604166666666667</v>
      </c>
      <c r="E754" s="21">
        <f t="shared" si="11"/>
        <v>2.2916666666666696E-2</v>
      </c>
      <c r="G754" s="3" t="s">
        <v>203</v>
      </c>
      <c r="I754" s="9" t="s">
        <v>221</v>
      </c>
      <c r="K754" s="8" t="s">
        <v>210</v>
      </c>
    </row>
    <row r="755" spans="1:11" x14ac:dyDescent="0.25">
      <c r="E755" s="21">
        <f t="shared" si="11"/>
        <v>0</v>
      </c>
      <c r="I755" s="9"/>
      <c r="K755" s="8"/>
    </row>
    <row r="756" spans="1:11" x14ac:dyDescent="0.25">
      <c r="A756" s="20">
        <v>41766</v>
      </c>
      <c r="B756" s="1">
        <v>0.47916666666666669</v>
      </c>
      <c r="C756" s="1">
        <v>0.52708333333333335</v>
      </c>
      <c r="E756" s="21">
        <f t="shared" si="11"/>
        <v>4.7916666666666663E-2</v>
      </c>
      <c r="G756" s="3" t="s">
        <v>203</v>
      </c>
      <c r="I756" s="9" t="s">
        <v>221</v>
      </c>
      <c r="K756" s="8" t="s">
        <v>212</v>
      </c>
    </row>
    <row r="757" spans="1:11" x14ac:dyDescent="0.25">
      <c r="A757" s="20">
        <v>41766</v>
      </c>
      <c r="B757" s="1">
        <v>0.55347222222222225</v>
      </c>
      <c r="C757" s="1">
        <v>0.66388888888888886</v>
      </c>
      <c r="D757" s="4">
        <v>7.6388888888888886E-3</v>
      </c>
      <c r="E757" s="21">
        <f t="shared" si="11"/>
        <v>0.11041666666666661</v>
      </c>
      <c r="G757" s="3" t="s">
        <v>198</v>
      </c>
      <c r="I757" s="9" t="s">
        <v>7</v>
      </c>
      <c r="K757" s="8"/>
    </row>
    <row r="758" spans="1:11" x14ac:dyDescent="0.25">
      <c r="A758" s="20">
        <v>41766</v>
      </c>
      <c r="B758" s="1">
        <v>0.67986111111111114</v>
      </c>
      <c r="C758" s="1">
        <v>0.69444444444444453</v>
      </c>
      <c r="E758" s="21">
        <f t="shared" si="11"/>
        <v>1.4583333333333393E-2</v>
      </c>
      <c r="G758" s="3" t="s">
        <v>198</v>
      </c>
      <c r="I758" s="9" t="s">
        <v>7</v>
      </c>
      <c r="K758" s="8"/>
    </row>
    <row r="759" spans="1:11" x14ac:dyDescent="0.25">
      <c r="A759" s="20">
        <v>41766</v>
      </c>
      <c r="B759" s="1">
        <f>C758</f>
        <v>0.69444444444444453</v>
      </c>
      <c r="C759" s="1">
        <v>0.93055555555555547</v>
      </c>
      <c r="G759" s="3" t="s">
        <v>204</v>
      </c>
      <c r="I759" s="9" t="s">
        <v>213</v>
      </c>
      <c r="K759" s="8"/>
    </row>
    <row r="760" spans="1:11" x14ac:dyDescent="0.25">
      <c r="E760" s="21">
        <f t="shared" si="11"/>
        <v>0</v>
      </c>
      <c r="I760" s="9"/>
      <c r="K760" s="8"/>
    </row>
    <row r="761" spans="1:11" x14ac:dyDescent="0.25">
      <c r="A761" s="20">
        <v>41767</v>
      </c>
      <c r="B761" s="1">
        <v>0.4861111111111111</v>
      </c>
      <c r="C761" s="1">
        <v>0.49444444444444446</v>
      </c>
      <c r="E761" s="21">
        <f t="shared" si="11"/>
        <v>8.3333333333333592E-3</v>
      </c>
      <c r="G761" s="3" t="s">
        <v>199</v>
      </c>
      <c r="I761" s="9" t="s">
        <v>60</v>
      </c>
      <c r="K761" s="8" t="s">
        <v>214</v>
      </c>
    </row>
    <row r="762" spans="1:11" x14ac:dyDescent="0.25">
      <c r="A762" s="20">
        <v>41767</v>
      </c>
      <c r="B762" s="1">
        <f>C761</f>
        <v>0.49444444444444446</v>
      </c>
      <c r="C762" s="1">
        <v>0.50763888888888886</v>
      </c>
      <c r="E762" s="21">
        <f t="shared" si="11"/>
        <v>1.3194444444444398E-2</v>
      </c>
      <c r="G762" s="3" t="s">
        <v>198</v>
      </c>
      <c r="I762" s="9" t="s">
        <v>7</v>
      </c>
      <c r="K762" s="8"/>
    </row>
    <row r="763" spans="1:11" x14ac:dyDescent="0.25">
      <c r="A763" s="20">
        <v>41767</v>
      </c>
      <c r="B763" s="1">
        <v>0.57638888888888895</v>
      </c>
      <c r="C763" s="1">
        <v>0.65347222222222223</v>
      </c>
      <c r="D763" s="4">
        <v>1.8749999999999999E-2</v>
      </c>
      <c r="E763" s="21">
        <f t="shared" si="11"/>
        <v>6.666666666666661E-2</v>
      </c>
      <c r="G763" s="3" t="s">
        <v>198</v>
      </c>
      <c r="I763" s="9" t="s">
        <v>7</v>
      </c>
      <c r="K763" s="8"/>
    </row>
    <row r="764" spans="1:11" x14ac:dyDescent="0.25">
      <c r="A764" s="20">
        <v>41767</v>
      </c>
      <c r="B764" s="1">
        <f>C763</f>
        <v>0.65347222222222223</v>
      </c>
      <c r="C764" s="1">
        <v>0.79027777777777775</v>
      </c>
      <c r="D764" s="4">
        <v>3.4722222222222224E-2</v>
      </c>
      <c r="E764" s="21">
        <f t="shared" si="11"/>
        <v>0.11041666666666662</v>
      </c>
      <c r="G764" s="9" t="s">
        <v>200</v>
      </c>
      <c r="I764" s="9" t="s">
        <v>190</v>
      </c>
      <c r="K764" s="8"/>
    </row>
    <row r="765" spans="1:11" x14ac:dyDescent="0.25">
      <c r="A765" s="20">
        <v>41767</v>
      </c>
      <c r="B765" s="1">
        <v>0.86111111111111116</v>
      </c>
      <c r="C765" s="1">
        <v>0.96875</v>
      </c>
      <c r="E765" s="21">
        <f t="shared" si="11"/>
        <v>0.10763888888888884</v>
      </c>
      <c r="G765" s="9" t="s">
        <v>200</v>
      </c>
      <c r="I765" s="9" t="s">
        <v>190</v>
      </c>
      <c r="K765" s="8"/>
    </row>
    <row r="766" spans="1:11" x14ac:dyDescent="0.25">
      <c r="E766" s="21">
        <f t="shared" si="11"/>
        <v>0</v>
      </c>
      <c r="I766" s="9"/>
      <c r="K766" s="8"/>
    </row>
    <row r="767" spans="1:11" x14ac:dyDescent="0.25">
      <c r="A767" s="20">
        <v>41768</v>
      </c>
      <c r="B767" s="1">
        <v>0.5541666666666667</v>
      </c>
      <c r="C767" s="1">
        <v>0.83263888888888893</v>
      </c>
      <c r="D767" s="4">
        <v>3.1944444444444449E-2</v>
      </c>
      <c r="E767" s="21">
        <f t="shared" si="11"/>
        <v>0.25486111111111115</v>
      </c>
      <c r="G767" s="9" t="s">
        <v>200</v>
      </c>
      <c r="I767" s="9" t="s">
        <v>190</v>
      </c>
      <c r="K767" s="8" t="s">
        <v>215</v>
      </c>
    </row>
    <row r="768" spans="1:11" x14ac:dyDescent="0.25">
      <c r="A768" s="20">
        <v>41768</v>
      </c>
      <c r="B768" s="1">
        <v>0.84444444444444444</v>
      </c>
      <c r="C768" s="1">
        <v>0.87708333333333333</v>
      </c>
      <c r="E768" s="21">
        <f t="shared" si="11"/>
        <v>3.2638888888888884E-2</v>
      </c>
      <c r="G768" s="9" t="s">
        <v>200</v>
      </c>
      <c r="I768" s="9" t="s">
        <v>190</v>
      </c>
      <c r="K768" s="8"/>
    </row>
    <row r="769" spans="1:11" x14ac:dyDescent="0.25">
      <c r="A769" s="20">
        <v>41768</v>
      </c>
      <c r="B769" s="1">
        <v>0.91666666666666663</v>
      </c>
      <c r="C769" s="1">
        <v>0.95694444444444438</v>
      </c>
      <c r="E769" s="21">
        <f t="shared" si="11"/>
        <v>4.0277777777777746E-2</v>
      </c>
      <c r="G769" s="9" t="s">
        <v>200</v>
      </c>
      <c r="I769" s="9" t="s">
        <v>190</v>
      </c>
      <c r="K769" s="8"/>
    </row>
    <row r="770" spans="1:11" x14ac:dyDescent="0.25">
      <c r="A770" s="20">
        <v>41768</v>
      </c>
      <c r="B770" s="1">
        <v>0.98958333333333337</v>
      </c>
      <c r="C770" s="1">
        <v>0.99930555555555556</v>
      </c>
      <c r="E770" s="21">
        <f t="shared" si="11"/>
        <v>9.7222222222221877E-3</v>
      </c>
      <c r="G770" s="9" t="s">
        <v>200</v>
      </c>
      <c r="I770" s="9" t="s">
        <v>190</v>
      </c>
      <c r="K770" s="8" t="s">
        <v>216</v>
      </c>
    </row>
    <row r="771" spans="1:11" x14ac:dyDescent="0.25">
      <c r="G771" s="9"/>
      <c r="I771" s="9"/>
      <c r="K771" s="8"/>
    </row>
    <row r="772" spans="1:11" x14ac:dyDescent="0.25">
      <c r="A772" s="20">
        <v>41769</v>
      </c>
      <c r="B772" s="1">
        <v>0</v>
      </c>
      <c r="C772" s="1">
        <v>2.2916666666666669E-2</v>
      </c>
      <c r="E772" s="21">
        <f t="shared" si="11"/>
        <v>2.2916666666666669E-2</v>
      </c>
      <c r="G772" s="9" t="s">
        <v>200</v>
      </c>
      <c r="I772" s="9" t="s">
        <v>190</v>
      </c>
      <c r="K772" s="8"/>
    </row>
    <row r="773" spans="1:11" x14ac:dyDescent="0.25">
      <c r="A773" s="20">
        <v>41769</v>
      </c>
      <c r="B773" s="1">
        <v>0.11180555555555556</v>
      </c>
      <c r="C773" s="1">
        <v>0.1388888888888889</v>
      </c>
      <c r="E773" s="21">
        <f t="shared" si="11"/>
        <v>2.7083333333333334E-2</v>
      </c>
      <c r="G773" s="9" t="s">
        <v>200</v>
      </c>
      <c r="I773" s="9" t="s">
        <v>190</v>
      </c>
      <c r="K773" s="8"/>
    </row>
    <row r="774" spans="1:11" x14ac:dyDescent="0.25">
      <c r="A774" s="20">
        <v>41769</v>
      </c>
      <c r="B774" s="1">
        <v>0.51388888888888895</v>
      </c>
      <c r="C774" s="1">
        <v>0.54166666666666663</v>
      </c>
      <c r="E774" s="21">
        <f t="shared" si="11"/>
        <v>2.7777777777777679E-2</v>
      </c>
      <c r="G774" s="9" t="s">
        <v>203</v>
      </c>
      <c r="I774" s="9" t="s">
        <v>217</v>
      </c>
      <c r="K774" s="8" t="s">
        <v>218</v>
      </c>
    </row>
    <row r="775" spans="1:11" x14ac:dyDescent="0.25">
      <c r="A775" s="20">
        <v>41769</v>
      </c>
      <c r="B775" s="1">
        <v>0.57986111111111105</v>
      </c>
      <c r="C775" s="1">
        <v>0.60277777777777775</v>
      </c>
      <c r="E775" s="21">
        <f t="shared" si="11"/>
        <v>2.2916666666666696E-2</v>
      </c>
      <c r="G775" s="9" t="s">
        <v>200</v>
      </c>
      <c r="I775" s="9" t="s">
        <v>190</v>
      </c>
      <c r="K775" s="8"/>
    </row>
    <row r="776" spans="1:11" x14ac:dyDescent="0.25">
      <c r="A776" s="20">
        <v>41769</v>
      </c>
      <c r="B776" s="1">
        <v>0.60555555555555551</v>
      </c>
      <c r="C776" s="1">
        <v>0.66666666666666663</v>
      </c>
      <c r="E776" s="21">
        <f t="shared" si="11"/>
        <v>6.1111111111111116E-2</v>
      </c>
      <c r="G776" s="9" t="s">
        <v>203</v>
      </c>
      <c r="I776" s="9" t="s">
        <v>221</v>
      </c>
      <c r="K776" s="8" t="s">
        <v>219</v>
      </c>
    </row>
    <row r="777" spans="1:11" x14ac:dyDescent="0.25">
      <c r="A777" s="20">
        <v>41769</v>
      </c>
      <c r="B777" s="1">
        <v>0.76041666666666663</v>
      </c>
      <c r="C777" s="1">
        <v>0.78125</v>
      </c>
      <c r="E777" s="21">
        <f t="shared" si="11"/>
        <v>2.083333333333337E-2</v>
      </c>
      <c r="G777" s="9" t="s">
        <v>203</v>
      </c>
      <c r="I777" s="9" t="s">
        <v>221</v>
      </c>
      <c r="K777" s="8" t="s">
        <v>220</v>
      </c>
    </row>
    <row r="778" spans="1:11" x14ac:dyDescent="0.25">
      <c r="A778" s="20">
        <v>41769</v>
      </c>
      <c r="B778" s="1">
        <v>0.82638888888888884</v>
      </c>
      <c r="C778" s="1">
        <v>0.97152777777777777</v>
      </c>
      <c r="D778" s="4">
        <v>4.0972222222222222E-2</v>
      </c>
      <c r="E778" s="21">
        <f t="shared" si="11"/>
        <v>0.11250000000000004</v>
      </c>
      <c r="G778" s="9" t="s">
        <v>203</v>
      </c>
      <c r="I778" s="9" t="s">
        <v>221</v>
      </c>
      <c r="K778" s="8" t="s">
        <v>222</v>
      </c>
    </row>
    <row r="779" spans="1:11" x14ac:dyDescent="0.25">
      <c r="E779" s="21">
        <f t="shared" si="11"/>
        <v>0</v>
      </c>
      <c r="G779" s="9"/>
      <c r="I779" s="9"/>
      <c r="K779" s="8"/>
    </row>
    <row r="780" spans="1:11" x14ac:dyDescent="0.25">
      <c r="A780" s="20">
        <v>41771</v>
      </c>
      <c r="B780" s="1">
        <v>0.35416666666666669</v>
      </c>
      <c r="C780" s="1">
        <v>0.4375</v>
      </c>
      <c r="E780" s="21">
        <f t="shared" si="11"/>
        <v>8.3333333333333315E-2</v>
      </c>
      <c r="F780" s="25">
        <f>SUM(E780:E803)</f>
        <v>0.83333333333333348</v>
      </c>
      <c r="G780" s="3" t="s">
        <v>204</v>
      </c>
      <c r="I780" s="9" t="s">
        <v>205</v>
      </c>
      <c r="K780" s="8" t="s">
        <v>226</v>
      </c>
    </row>
    <row r="781" spans="1:11" x14ac:dyDescent="0.25">
      <c r="A781" s="20">
        <v>41771</v>
      </c>
      <c r="B781" s="1">
        <v>0.4375</v>
      </c>
      <c r="C781" s="1">
        <v>0.47916666666666669</v>
      </c>
      <c r="E781" s="21">
        <f>IF(D781&lt;(12/1440),C781-B781,C781-B781-D781+(12/1440))</f>
        <v>4.1666666666666685E-2</v>
      </c>
      <c r="G781" s="3" t="s">
        <v>199</v>
      </c>
      <c r="I781" s="9" t="s">
        <v>208</v>
      </c>
      <c r="K781" s="8" t="s">
        <v>223</v>
      </c>
    </row>
    <row r="782" spans="1:11" x14ac:dyDescent="0.25">
      <c r="A782" s="20">
        <v>41771</v>
      </c>
      <c r="B782" s="1">
        <v>0.64583333333333337</v>
      </c>
      <c r="C782" s="1">
        <v>0.6875</v>
      </c>
      <c r="E782" s="21">
        <f>IF(D782&lt;(12/1440),C782-B782,C782-B782-D782+(12/1440))</f>
        <v>4.166666666666663E-2</v>
      </c>
      <c r="G782" s="3" t="s">
        <v>199</v>
      </c>
      <c r="I782" s="9" t="s">
        <v>13</v>
      </c>
      <c r="K782" s="8" t="s">
        <v>224</v>
      </c>
    </row>
    <row r="783" spans="1:11" x14ac:dyDescent="0.25">
      <c r="A783" s="20">
        <v>41771</v>
      </c>
      <c r="B783" s="1">
        <v>0.89583333333333337</v>
      </c>
      <c r="C783" s="1">
        <v>0.91666666666666663</v>
      </c>
      <c r="E783" s="21">
        <f>IF(D783&lt;(12/1440),C783-B783,C783-B783-D783+(12/1440))</f>
        <v>2.0833333333333259E-2</v>
      </c>
      <c r="G783" s="3" t="s">
        <v>199</v>
      </c>
      <c r="I783" s="9" t="s">
        <v>13</v>
      </c>
      <c r="K783" s="8"/>
    </row>
    <row r="784" spans="1:11" x14ac:dyDescent="0.25">
      <c r="E784" s="21">
        <f t="shared" si="11"/>
        <v>0</v>
      </c>
      <c r="I784" s="9"/>
      <c r="K784" s="8"/>
    </row>
    <row r="785" spans="1:11" x14ac:dyDescent="0.25">
      <c r="A785" s="20">
        <v>41772</v>
      </c>
      <c r="B785" s="1">
        <v>0.4861111111111111</v>
      </c>
      <c r="C785" s="1">
        <v>0.51736111111111105</v>
      </c>
      <c r="E785" s="21">
        <f t="shared" si="11"/>
        <v>3.1249999999999944E-2</v>
      </c>
      <c r="G785" s="3" t="s">
        <v>199</v>
      </c>
      <c r="I785" s="9" t="s">
        <v>13</v>
      </c>
      <c r="K785" s="8" t="s">
        <v>225</v>
      </c>
    </row>
    <row r="786" spans="1:11" x14ac:dyDescent="0.25">
      <c r="A786" s="20">
        <v>41772</v>
      </c>
      <c r="B786" s="1">
        <f>C785</f>
        <v>0.51736111111111105</v>
      </c>
      <c r="C786" s="1">
        <v>0.56944444444444442</v>
      </c>
      <c r="E786" s="21">
        <f t="shared" si="11"/>
        <v>5.208333333333337E-2</v>
      </c>
      <c r="G786" s="3" t="s">
        <v>199</v>
      </c>
      <c r="I786" s="9" t="s">
        <v>13</v>
      </c>
      <c r="K786" s="8"/>
    </row>
    <row r="787" spans="1:11" x14ac:dyDescent="0.25">
      <c r="A787" s="20">
        <v>41772</v>
      </c>
      <c r="B787" s="1">
        <v>0.69791666666666663</v>
      </c>
      <c r="C787" s="1">
        <v>0.78749999999999998</v>
      </c>
      <c r="E787" s="21">
        <f t="shared" si="11"/>
        <v>8.9583333333333348E-2</v>
      </c>
      <c r="G787" s="9" t="s">
        <v>203</v>
      </c>
      <c r="I787" s="9" t="s">
        <v>221</v>
      </c>
      <c r="K787" s="8" t="s">
        <v>227</v>
      </c>
    </row>
    <row r="788" spans="1:11" x14ac:dyDescent="0.25">
      <c r="A788" s="20">
        <v>41773</v>
      </c>
      <c r="B788" s="1">
        <v>0.81111111111111101</v>
      </c>
      <c r="C788" s="1">
        <v>0.84861111111111109</v>
      </c>
      <c r="E788" s="21">
        <f t="shared" si="11"/>
        <v>3.7500000000000089E-2</v>
      </c>
      <c r="G788" s="3" t="s">
        <v>228</v>
      </c>
      <c r="I788" s="9" t="s">
        <v>229</v>
      </c>
      <c r="K788" s="8" t="s">
        <v>230</v>
      </c>
    </row>
    <row r="789" spans="1:11" x14ac:dyDescent="0.25">
      <c r="E789" s="21">
        <f t="shared" si="11"/>
        <v>0</v>
      </c>
      <c r="I789" s="9"/>
      <c r="K789" s="8"/>
    </row>
    <row r="790" spans="1:11" x14ac:dyDescent="0.25">
      <c r="A790" s="20">
        <v>41773</v>
      </c>
      <c r="B790" s="1">
        <v>0.3611111111111111</v>
      </c>
      <c r="C790" s="1">
        <v>0.40972222222222227</v>
      </c>
      <c r="E790" s="21">
        <f t="shared" si="11"/>
        <v>4.861111111111116E-2</v>
      </c>
      <c r="G790" s="9" t="s">
        <v>241</v>
      </c>
      <c r="I790" s="9" t="s">
        <v>242</v>
      </c>
      <c r="K790" s="8" t="s">
        <v>243</v>
      </c>
    </row>
    <row r="791" spans="1:11" x14ac:dyDescent="0.25">
      <c r="A791" s="20">
        <v>41773</v>
      </c>
      <c r="B791" s="1">
        <f>C790</f>
        <v>0.40972222222222227</v>
      </c>
      <c r="C791" s="1">
        <v>0.50416666666666665</v>
      </c>
      <c r="E791" s="21">
        <f t="shared" si="11"/>
        <v>9.4444444444444386E-2</v>
      </c>
      <c r="G791" s="9" t="s">
        <v>203</v>
      </c>
      <c r="I791" s="9" t="s">
        <v>221</v>
      </c>
      <c r="K791" s="8"/>
    </row>
    <row r="792" spans="1:11" x14ac:dyDescent="0.25">
      <c r="A792" s="20">
        <v>41773</v>
      </c>
      <c r="B792" s="1">
        <v>0.53680555555555554</v>
      </c>
      <c r="C792" s="1">
        <v>0.55902777777777779</v>
      </c>
      <c r="E792" s="21">
        <f t="shared" si="11"/>
        <v>2.2222222222222254E-2</v>
      </c>
      <c r="G792" s="9" t="s">
        <v>203</v>
      </c>
      <c r="I792" s="9" t="s">
        <v>221</v>
      </c>
      <c r="K792" s="8"/>
    </row>
    <row r="793" spans="1:11" x14ac:dyDescent="0.25">
      <c r="A793" s="20">
        <v>41773</v>
      </c>
      <c r="B793" s="1">
        <v>0.5805555555555556</v>
      </c>
      <c r="C793" s="1">
        <v>0.5854166666666667</v>
      </c>
      <c r="E793" s="21">
        <f t="shared" si="11"/>
        <v>4.8611111111110938E-3</v>
      </c>
      <c r="G793" s="3" t="s">
        <v>198</v>
      </c>
      <c r="I793" s="9" t="s">
        <v>7</v>
      </c>
      <c r="K793" s="8"/>
    </row>
    <row r="794" spans="1:11" x14ac:dyDescent="0.25">
      <c r="E794" s="21">
        <f t="shared" si="11"/>
        <v>0</v>
      </c>
    </row>
    <row r="795" spans="1:11" x14ac:dyDescent="0.25">
      <c r="A795" s="20">
        <v>41774</v>
      </c>
      <c r="B795" s="1">
        <v>0.46875</v>
      </c>
      <c r="C795" s="1">
        <v>0.57638888888888895</v>
      </c>
      <c r="E795" s="21">
        <f t="shared" ref="E795:E803" si="12">IF(D795&lt;(12/1440),C795-B795,C795-B795-D795+(12/1440))</f>
        <v>0.10763888888888895</v>
      </c>
      <c r="G795" s="3" t="s">
        <v>241</v>
      </c>
      <c r="I795" s="3" t="s">
        <v>13</v>
      </c>
      <c r="K795" s="2" t="s">
        <v>244</v>
      </c>
    </row>
    <row r="796" spans="1:11" x14ac:dyDescent="0.25">
      <c r="A796" s="20">
        <v>41774</v>
      </c>
      <c r="E796" s="21">
        <f t="shared" si="12"/>
        <v>0</v>
      </c>
      <c r="K796" s="2" t="s">
        <v>245</v>
      </c>
    </row>
    <row r="797" spans="1:11" x14ac:dyDescent="0.25">
      <c r="E797" s="21">
        <f t="shared" si="12"/>
        <v>0</v>
      </c>
    </row>
    <row r="798" spans="1:11" x14ac:dyDescent="0.25">
      <c r="A798" s="20">
        <v>41775</v>
      </c>
      <c r="E798" s="21">
        <f t="shared" si="12"/>
        <v>0</v>
      </c>
      <c r="K798" s="2" t="s">
        <v>245</v>
      </c>
    </row>
    <row r="799" spans="1:11" x14ac:dyDescent="0.25">
      <c r="A799" s="20">
        <v>41775</v>
      </c>
      <c r="B799" s="1">
        <v>0.55555555555555558</v>
      </c>
      <c r="C799" s="1">
        <v>0.59722222222222221</v>
      </c>
      <c r="E799" s="21">
        <f t="shared" si="12"/>
        <v>4.166666666666663E-2</v>
      </c>
      <c r="G799" s="3" t="s">
        <v>199</v>
      </c>
      <c r="I799" s="3" t="s">
        <v>246</v>
      </c>
      <c r="K799" s="2" t="s">
        <v>247</v>
      </c>
    </row>
    <row r="800" spans="1:11" x14ac:dyDescent="0.25">
      <c r="A800" s="20">
        <v>41775</v>
      </c>
      <c r="B800" s="1">
        <v>0.63541666666666663</v>
      </c>
      <c r="C800" s="1">
        <v>0.67708333333333337</v>
      </c>
      <c r="E800" s="21">
        <f t="shared" si="12"/>
        <v>4.1666666666666741E-2</v>
      </c>
      <c r="G800" s="3" t="s">
        <v>248</v>
      </c>
      <c r="I800" s="3" t="s">
        <v>249</v>
      </c>
      <c r="K800" s="2" t="s">
        <v>250</v>
      </c>
    </row>
    <row r="801" spans="1:11" x14ac:dyDescent="0.25">
      <c r="E801" s="21">
        <f t="shared" si="12"/>
        <v>0</v>
      </c>
    </row>
    <row r="802" spans="1:11" x14ac:dyDescent="0.25">
      <c r="A802" s="20">
        <v>41776</v>
      </c>
      <c r="B802" s="1">
        <v>0.40486111111111112</v>
      </c>
      <c r="C802" s="1">
        <v>0.43888888888888888</v>
      </c>
      <c r="E802" s="21">
        <f t="shared" si="12"/>
        <v>3.4027777777777768E-2</v>
      </c>
      <c r="G802" s="3" t="s">
        <v>248</v>
      </c>
      <c r="I802" s="3" t="s">
        <v>249</v>
      </c>
      <c r="K802" s="2" t="s">
        <v>251</v>
      </c>
    </row>
    <row r="803" spans="1:11" x14ac:dyDescent="0.25">
      <c r="A803" s="20">
        <v>41776</v>
      </c>
      <c r="B803" s="1">
        <f>C802</f>
        <v>0.43888888888888888</v>
      </c>
      <c r="C803" s="1">
        <v>0.47916666666666669</v>
      </c>
      <c r="E803" s="21">
        <f t="shared" si="12"/>
        <v>4.0277777777777801E-2</v>
      </c>
      <c r="G803" s="3" t="s">
        <v>198</v>
      </c>
      <c r="I803" s="3" t="s">
        <v>252</v>
      </c>
    </row>
    <row r="805" spans="1:11" x14ac:dyDescent="0.25">
      <c r="A805" s="20">
        <v>41778</v>
      </c>
      <c r="B805" s="1">
        <v>0.48125000000000001</v>
      </c>
      <c r="C805" s="1">
        <v>0.55555555555555558</v>
      </c>
      <c r="E805" s="21">
        <f t="shared" ref="E805:E885" si="13">IF(D805&lt;(12/1440),C805-B805,C805-B805-D805+(12/1440))</f>
        <v>7.4305555555555569E-2</v>
      </c>
      <c r="F805" s="25">
        <f>SUM(E805:E829)</f>
        <v>1.2743055555555556</v>
      </c>
      <c r="G805" s="3" t="s">
        <v>198</v>
      </c>
      <c r="I805" s="3" t="s">
        <v>252</v>
      </c>
    </row>
    <row r="806" spans="1:11" x14ac:dyDescent="0.25">
      <c r="A806" s="20">
        <v>41778</v>
      </c>
      <c r="B806" s="1">
        <v>0.59861111111111109</v>
      </c>
      <c r="C806" s="1">
        <v>0.7270833333333333</v>
      </c>
      <c r="D806" s="4">
        <v>7.6388888888888886E-3</v>
      </c>
      <c r="E806" s="21">
        <f t="shared" si="13"/>
        <v>0.12847222222222221</v>
      </c>
      <c r="G806" s="3" t="s">
        <v>198</v>
      </c>
      <c r="I806" s="3" t="s">
        <v>252</v>
      </c>
    </row>
    <row r="807" spans="1:11" x14ac:dyDescent="0.25">
      <c r="A807" s="20">
        <v>41778</v>
      </c>
      <c r="B807" s="1">
        <v>0.84097222222222223</v>
      </c>
      <c r="C807" s="1">
        <v>0.8520833333333333</v>
      </c>
      <c r="E807" s="21">
        <f t="shared" si="13"/>
        <v>1.1111111111111072E-2</v>
      </c>
      <c r="G807" s="3" t="s">
        <v>198</v>
      </c>
      <c r="I807" s="3" t="s">
        <v>252</v>
      </c>
    </row>
    <row r="808" spans="1:11" x14ac:dyDescent="0.25">
      <c r="E808" s="21">
        <f t="shared" si="13"/>
        <v>0</v>
      </c>
    </row>
    <row r="809" spans="1:11" x14ac:dyDescent="0.25">
      <c r="A809" s="20">
        <v>41779</v>
      </c>
      <c r="B809" s="1">
        <v>0.46875</v>
      </c>
      <c r="C809" s="1">
        <v>0.75</v>
      </c>
      <c r="E809" s="21">
        <f t="shared" si="13"/>
        <v>0.28125</v>
      </c>
      <c r="G809" s="3" t="s">
        <v>241</v>
      </c>
      <c r="I809" s="3" t="s">
        <v>253</v>
      </c>
      <c r="K809" s="2" t="s">
        <v>254</v>
      </c>
    </row>
    <row r="810" spans="1:11" x14ac:dyDescent="0.25">
      <c r="A810" s="20">
        <v>41779</v>
      </c>
      <c r="B810" s="1">
        <v>0.83333333333333337</v>
      </c>
      <c r="C810" s="1">
        <v>0.86458333333333337</v>
      </c>
      <c r="E810" s="21">
        <f t="shared" si="13"/>
        <v>3.125E-2</v>
      </c>
      <c r="G810" s="3" t="s">
        <v>241</v>
      </c>
      <c r="I810" s="3" t="s">
        <v>255</v>
      </c>
    </row>
    <row r="811" spans="1:11" x14ac:dyDescent="0.25">
      <c r="E811" s="21">
        <f t="shared" si="13"/>
        <v>0</v>
      </c>
    </row>
    <row r="812" spans="1:11" x14ac:dyDescent="0.25">
      <c r="A812" s="20">
        <v>41780</v>
      </c>
      <c r="B812" s="1">
        <v>0.46875</v>
      </c>
      <c r="C812" s="1">
        <v>0.59375</v>
      </c>
      <c r="E812" s="21">
        <f t="shared" si="13"/>
        <v>0.125</v>
      </c>
      <c r="G812" s="3" t="s">
        <v>241</v>
      </c>
      <c r="I812" s="3" t="s">
        <v>256</v>
      </c>
      <c r="K812" s="2" t="s">
        <v>257</v>
      </c>
    </row>
    <row r="813" spans="1:11" x14ac:dyDescent="0.25">
      <c r="A813" s="20">
        <v>41780</v>
      </c>
      <c r="B813" s="1">
        <v>0.63472222222222219</v>
      </c>
      <c r="C813" s="1">
        <v>0.67638888888888893</v>
      </c>
      <c r="E813" s="21">
        <f t="shared" si="13"/>
        <v>4.1666666666666741E-2</v>
      </c>
      <c r="G813" s="3" t="s">
        <v>241</v>
      </c>
      <c r="I813" s="3" t="s">
        <v>258</v>
      </c>
    </row>
    <row r="814" spans="1:11" x14ac:dyDescent="0.25">
      <c r="A814" s="20">
        <v>41780</v>
      </c>
      <c r="B814" s="1">
        <f>C813</f>
        <v>0.67638888888888893</v>
      </c>
      <c r="C814" s="1">
        <v>0.75694444444444453</v>
      </c>
      <c r="D814" s="4">
        <v>1.7361111111111112E-2</v>
      </c>
      <c r="E814" s="21">
        <f t="shared" si="13"/>
        <v>7.1527777777777829E-2</v>
      </c>
      <c r="G814" s="3" t="s">
        <v>198</v>
      </c>
      <c r="I814" s="3" t="s">
        <v>252</v>
      </c>
    </row>
    <row r="815" spans="1:11" x14ac:dyDescent="0.25">
      <c r="A815" s="20">
        <v>41780</v>
      </c>
      <c r="B815" s="1">
        <v>0.7993055555555556</v>
      </c>
      <c r="C815" s="1">
        <v>0.81319444444444444</v>
      </c>
      <c r="E815" s="21">
        <f t="shared" si="13"/>
        <v>1.388888888888884E-2</v>
      </c>
      <c r="G815" s="3" t="s">
        <v>259</v>
      </c>
      <c r="I815" s="3" t="s">
        <v>260</v>
      </c>
    </row>
    <row r="816" spans="1:11" x14ac:dyDescent="0.25">
      <c r="E816" s="21">
        <f t="shared" si="13"/>
        <v>0</v>
      </c>
    </row>
    <row r="817" spans="1:11" x14ac:dyDescent="0.25">
      <c r="A817" s="20">
        <v>41781</v>
      </c>
      <c r="B817" s="1">
        <v>0.54166666666666663</v>
      </c>
      <c r="C817" s="1">
        <v>0.58333333333333337</v>
      </c>
      <c r="E817" s="21">
        <f t="shared" si="13"/>
        <v>4.1666666666666741E-2</v>
      </c>
      <c r="G817" s="3" t="s">
        <v>241</v>
      </c>
      <c r="I817" s="3" t="s">
        <v>261</v>
      </c>
    </row>
    <row r="818" spans="1:11" x14ac:dyDescent="0.25">
      <c r="A818" s="20">
        <v>41781</v>
      </c>
      <c r="B818" s="1">
        <v>0.7680555555555556</v>
      </c>
      <c r="C818" s="1">
        <v>0.79861111111111116</v>
      </c>
      <c r="D818" s="4">
        <v>1.3194444444444444E-2</v>
      </c>
      <c r="E818" s="21">
        <f t="shared" si="13"/>
        <v>2.5694444444444443E-2</v>
      </c>
      <c r="G818" s="3" t="s">
        <v>259</v>
      </c>
      <c r="I818" s="3" t="s">
        <v>260</v>
      </c>
    </row>
    <row r="819" spans="1:11" x14ac:dyDescent="0.25">
      <c r="A819" s="20">
        <v>41781</v>
      </c>
      <c r="B819" s="1">
        <v>0.89166666666666661</v>
      </c>
      <c r="C819" s="1">
        <v>0.94097222222222221</v>
      </c>
      <c r="E819" s="21">
        <f t="shared" si="13"/>
        <v>4.9305555555555602E-2</v>
      </c>
      <c r="G819" s="3" t="s">
        <v>259</v>
      </c>
      <c r="I819" s="3" t="s">
        <v>260</v>
      </c>
    </row>
    <row r="820" spans="1:11" x14ac:dyDescent="0.25">
      <c r="A820" s="20">
        <v>41781</v>
      </c>
      <c r="B820" s="1">
        <v>0.96527777777777779</v>
      </c>
      <c r="C820" s="1">
        <v>0.98472222222222217</v>
      </c>
      <c r="E820" s="21">
        <f t="shared" si="13"/>
        <v>1.9444444444444375E-2</v>
      </c>
      <c r="G820" s="3" t="s">
        <v>259</v>
      </c>
      <c r="I820" s="3" t="s">
        <v>260</v>
      </c>
    </row>
    <row r="821" spans="1:11" x14ac:dyDescent="0.25">
      <c r="E821" s="21">
        <f t="shared" si="13"/>
        <v>0</v>
      </c>
    </row>
    <row r="822" spans="1:11" x14ac:dyDescent="0.25">
      <c r="A822" s="20">
        <v>41782</v>
      </c>
      <c r="B822" s="1">
        <v>0.42638888888888887</v>
      </c>
      <c r="C822" s="1">
        <v>0.46875</v>
      </c>
      <c r="E822" s="21">
        <f t="shared" si="13"/>
        <v>4.2361111111111127E-2</v>
      </c>
      <c r="G822" s="3" t="s">
        <v>259</v>
      </c>
      <c r="I822" s="3" t="s">
        <v>260</v>
      </c>
    </row>
    <row r="823" spans="1:11" x14ac:dyDescent="0.25">
      <c r="A823" s="20">
        <v>41782</v>
      </c>
      <c r="B823" s="1">
        <v>0.66666666666666663</v>
      </c>
      <c r="C823" s="1">
        <v>0.76527777777777783</v>
      </c>
      <c r="D823" s="4">
        <v>2.7777777777777779E-3</v>
      </c>
      <c r="E823" s="21">
        <f t="shared" si="13"/>
        <v>9.8611111111111205E-2</v>
      </c>
      <c r="G823" s="3" t="s">
        <v>259</v>
      </c>
      <c r="I823" s="3" t="s">
        <v>260</v>
      </c>
    </row>
    <row r="824" spans="1:11" x14ac:dyDescent="0.25">
      <c r="A824" s="20">
        <v>41782</v>
      </c>
      <c r="B824" s="1">
        <f>C823</f>
        <v>0.76527777777777783</v>
      </c>
      <c r="C824" s="1">
        <v>0.78472222222222221</v>
      </c>
      <c r="E824" s="21">
        <f t="shared" si="13"/>
        <v>1.9444444444444375E-2</v>
      </c>
      <c r="G824" s="3" t="s">
        <v>228</v>
      </c>
      <c r="I824" s="3" t="s">
        <v>262</v>
      </c>
      <c r="K824" s="2" t="s">
        <v>263</v>
      </c>
    </row>
    <row r="825" spans="1:11" x14ac:dyDescent="0.25">
      <c r="A825" s="20">
        <v>41782</v>
      </c>
      <c r="B825" s="1">
        <v>0.93194444444444446</v>
      </c>
      <c r="C825" s="1">
        <v>0.97083333333333333</v>
      </c>
      <c r="E825" s="21">
        <f t="shared" si="13"/>
        <v>3.8888888888888862E-2</v>
      </c>
      <c r="G825" s="3" t="s">
        <v>259</v>
      </c>
      <c r="I825" s="3" t="s">
        <v>260</v>
      </c>
    </row>
    <row r="826" spans="1:11" x14ac:dyDescent="0.25">
      <c r="E826" s="21">
        <f t="shared" si="13"/>
        <v>0</v>
      </c>
    </row>
    <row r="827" spans="1:11" x14ac:dyDescent="0.25">
      <c r="A827" s="20">
        <v>41783</v>
      </c>
      <c r="B827" s="1">
        <v>0.45069444444444445</v>
      </c>
      <c r="C827" s="1">
        <v>0.49444444444444446</v>
      </c>
      <c r="E827" s="21">
        <f t="shared" si="13"/>
        <v>4.3750000000000011E-2</v>
      </c>
      <c r="G827" s="3" t="s">
        <v>259</v>
      </c>
      <c r="I827" s="3" t="s">
        <v>260</v>
      </c>
    </row>
    <row r="828" spans="1:11" x14ac:dyDescent="0.25">
      <c r="A828" s="20">
        <v>41783</v>
      </c>
      <c r="B828" s="1">
        <v>0.49861111111111112</v>
      </c>
      <c r="C828" s="1">
        <v>0.55555555555555558</v>
      </c>
      <c r="D828" s="4">
        <v>2.361111111111111E-2</v>
      </c>
      <c r="E828" s="21">
        <f t="shared" si="13"/>
        <v>4.1666666666666685E-2</v>
      </c>
      <c r="G828" s="3" t="s">
        <v>259</v>
      </c>
      <c r="I828" s="3" t="s">
        <v>260</v>
      </c>
    </row>
    <row r="829" spans="1:11" x14ac:dyDescent="0.25">
      <c r="A829" s="20">
        <v>41783</v>
      </c>
      <c r="B829" s="1">
        <f>C828</f>
        <v>0.55555555555555558</v>
      </c>
      <c r="C829" s="1">
        <v>0.63055555555555554</v>
      </c>
      <c r="E829" s="21">
        <f t="shared" si="13"/>
        <v>7.4999999999999956E-2</v>
      </c>
      <c r="G829" s="3" t="s">
        <v>259</v>
      </c>
      <c r="I829" s="3" t="s">
        <v>260</v>
      </c>
    </row>
    <row r="830" spans="1:11" x14ac:dyDescent="0.25">
      <c r="E830" s="21">
        <f t="shared" si="13"/>
        <v>0</v>
      </c>
    </row>
    <row r="831" spans="1:11" x14ac:dyDescent="0.25">
      <c r="A831" s="20">
        <v>41786</v>
      </c>
      <c r="B831" s="1">
        <v>0.5</v>
      </c>
      <c r="C831" s="1">
        <v>0.53194444444444444</v>
      </c>
      <c r="E831" s="21">
        <f t="shared" si="13"/>
        <v>3.1944444444444442E-2</v>
      </c>
      <c r="F831" s="25">
        <f>SUM(E831:E844)</f>
        <v>0.68402777777777768</v>
      </c>
      <c r="G831" s="9" t="s">
        <v>199</v>
      </c>
      <c r="I831" s="9" t="s">
        <v>264</v>
      </c>
      <c r="K831" s="8" t="s">
        <v>265</v>
      </c>
    </row>
    <row r="832" spans="1:11" x14ac:dyDescent="0.25">
      <c r="A832" s="20">
        <v>41786</v>
      </c>
      <c r="B832" s="1">
        <v>0.57013888888888886</v>
      </c>
      <c r="C832" s="1">
        <v>0.63958333333333328</v>
      </c>
      <c r="D832" s="4">
        <v>2.0833333333333333E-3</v>
      </c>
      <c r="E832" s="21">
        <f t="shared" si="13"/>
        <v>6.944444444444442E-2</v>
      </c>
      <c r="G832" s="3" t="s">
        <v>259</v>
      </c>
      <c r="I832" s="3" t="s">
        <v>260</v>
      </c>
    </row>
    <row r="833" spans="1:11" x14ac:dyDescent="0.25">
      <c r="E833" s="21">
        <f t="shared" si="13"/>
        <v>0</v>
      </c>
    </row>
    <row r="834" spans="1:11" x14ac:dyDescent="0.25">
      <c r="A834" s="20">
        <v>41787</v>
      </c>
      <c r="B834" s="1">
        <v>0.5</v>
      </c>
      <c r="C834" s="1">
        <v>0.58333333333333337</v>
      </c>
      <c r="E834" s="21">
        <f t="shared" si="13"/>
        <v>8.333333333333337E-2</v>
      </c>
      <c r="G834" s="3" t="s">
        <v>259</v>
      </c>
      <c r="I834" s="3" t="s">
        <v>260</v>
      </c>
    </row>
    <row r="835" spans="1:11" x14ac:dyDescent="0.25">
      <c r="A835" s="20">
        <v>41787</v>
      </c>
      <c r="B835" s="1">
        <v>0.83333333333333337</v>
      </c>
      <c r="C835" s="1">
        <v>0.91666666666666663</v>
      </c>
      <c r="E835" s="21">
        <f t="shared" si="13"/>
        <v>8.3333333333333259E-2</v>
      </c>
      <c r="G835" s="3" t="s">
        <v>240</v>
      </c>
      <c r="I835" s="3" t="s">
        <v>231</v>
      </c>
      <c r="K835" s="2" t="s">
        <v>267</v>
      </c>
    </row>
    <row r="836" spans="1:11" x14ac:dyDescent="0.25">
      <c r="E836" s="21">
        <f t="shared" si="13"/>
        <v>0</v>
      </c>
    </row>
    <row r="837" spans="1:11" x14ac:dyDescent="0.25">
      <c r="A837" s="20">
        <v>41788</v>
      </c>
      <c r="B837" s="1">
        <v>0.38541666666666669</v>
      </c>
      <c r="C837" s="1">
        <v>0.46875</v>
      </c>
      <c r="E837" s="21">
        <f t="shared" si="13"/>
        <v>8.3333333333333315E-2</v>
      </c>
      <c r="G837" s="3" t="s">
        <v>241</v>
      </c>
      <c r="I837" s="3" t="s">
        <v>266</v>
      </c>
    </row>
    <row r="838" spans="1:11" x14ac:dyDescent="0.25">
      <c r="A838" s="20">
        <v>41788</v>
      </c>
      <c r="B838" s="1">
        <v>0.54166666666666663</v>
      </c>
      <c r="C838" s="1">
        <v>0.5625</v>
      </c>
      <c r="E838" s="21">
        <f t="shared" si="13"/>
        <v>2.083333333333337E-2</v>
      </c>
      <c r="G838" s="3" t="s">
        <v>259</v>
      </c>
      <c r="I838" s="3" t="s">
        <v>260</v>
      </c>
    </row>
    <row r="839" spans="1:11" x14ac:dyDescent="0.25">
      <c r="A839" s="20">
        <v>41788</v>
      </c>
      <c r="B839" s="1">
        <v>0.70833333333333337</v>
      </c>
      <c r="C839" s="1">
        <v>0.72916666666666663</v>
      </c>
      <c r="E839" s="21">
        <f t="shared" si="13"/>
        <v>2.0833333333333259E-2</v>
      </c>
      <c r="G839" s="3" t="s">
        <v>259</v>
      </c>
      <c r="I839" s="3" t="s">
        <v>260</v>
      </c>
    </row>
    <row r="840" spans="1:11" x14ac:dyDescent="0.25">
      <c r="E840" s="21">
        <f t="shared" si="13"/>
        <v>0</v>
      </c>
    </row>
    <row r="841" spans="1:11" x14ac:dyDescent="0.25">
      <c r="A841" s="20">
        <v>41789</v>
      </c>
      <c r="B841" s="1">
        <v>0.47222222222222227</v>
      </c>
      <c r="C841" s="1">
        <v>0.59722222222222221</v>
      </c>
      <c r="E841" s="21">
        <f t="shared" si="13"/>
        <v>0.12499999999999994</v>
      </c>
      <c r="G841" s="3" t="s">
        <v>241</v>
      </c>
      <c r="I841" s="3" t="s">
        <v>268</v>
      </c>
    </row>
    <row r="842" spans="1:11" x14ac:dyDescent="0.25">
      <c r="A842" s="20">
        <v>41789</v>
      </c>
      <c r="B842" s="1">
        <v>0.66319444444444442</v>
      </c>
      <c r="C842" s="1">
        <v>0.74097222222222225</v>
      </c>
      <c r="D842" s="4">
        <v>1.7361111111111112E-2</v>
      </c>
      <c r="E842" s="21">
        <f t="shared" si="13"/>
        <v>6.8750000000000061E-2</v>
      </c>
      <c r="G842" s="3" t="s">
        <v>198</v>
      </c>
      <c r="I842" s="3" t="s">
        <v>252</v>
      </c>
    </row>
    <row r="843" spans="1:11" x14ac:dyDescent="0.25">
      <c r="A843" s="20">
        <v>41789</v>
      </c>
      <c r="B843" s="1">
        <v>0.77777777777777779</v>
      </c>
      <c r="C843" s="1">
        <v>0.82291666666666663</v>
      </c>
      <c r="E843" s="21">
        <f>IF(D843&lt;(12/1440),C843-B843,C843-B843-D843+(12/1440))</f>
        <v>4.513888888888884E-2</v>
      </c>
      <c r="G843" s="3" t="s">
        <v>198</v>
      </c>
      <c r="I843" s="3" t="s">
        <v>252</v>
      </c>
    </row>
    <row r="844" spans="1:11" x14ac:dyDescent="0.25">
      <c r="A844" s="20">
        <v>41789</v>
      </c>
      <c r="B844" s="1">
        <v>0.8652777777777777</v>
      </c>
      <c r="C844" s="1">
        <v>0.91736111111111107</v>
      </c>
      <c r="E844" s="21">
        <f t="shared" si="13"/>
        <v>5.208333333333337E-2</v>
      </c>
      <c r="G844" s="3" t="s">
        <v>198</v>
      </c>
      <c r="I844" s="3" t="s">
        <v>252</v>
      </c>
    </row>
    <row r="845" spans="1:11" x14ac:dyDescent="0.25">
      <c r="E845" s="21">
        <f t="shared" si="13"/>
        <v>0</v>
      </c>
    </row>
    <row r="846" spans="1:11" x14ac:dyDescent="0.25">
      <c r="A846" s="20">
        <v>41792</v>
      </c>
      <c r="B846" s="1">
        <v>0.57291666666666663</v>
      </c>
      <c r="C846" s="1">
        <v>0.58472222222222225</v>
      </c>
      <c r="E846" s="21">
        <f t="shared" si="13"/>
        <v>1.1805555555555625E-2</v>
      </c>
      <c r="F846" s="25">
        <f>SUM(E846:E882)</f>
        <v>1.2611111111111115</v>
      </c>
      <c r="G846" s="3" t="s">
        <v>248</v>
      </c>
      <c r="I846" s="3" t="s">
        <v>269</v>
      </c>
      <c r="K846" s="2" t="s">
        <v>270</v>
      </c>
    </row>
    <row r="847" spans="1:11" x14ac:dyDescent="0.25">
      <c r="A847" s="20">
        <v>41792</v>
      </c>
      <c r="B847" s="1">
        <f>C846</f>
        <v>0.58472222222222225</v>
      </c>
      <c r="C847" s="1">
        <v>0.61388888888888882</v>
      </c>
      <c r="D847" s="4">
        <v>1.2499999999999999E-2</v>
      </c>
      <c r="E847" s="21">
        <f t="shared" si="13"/>
        <v>2.4999999999999897E-2</v>
      </c>
      <c r="G847" s="3" t="s">
        <v>198</v>
      </c>
      <c r="I847" s="3" t="s">
        <v>252</v>
      </c>
    </row>
    <row r="848" spans="1:11" x14ac:dyDescent="0.25">
      <c r="A848" s="20">
        <v>41792</v>
      </c>
      <c r="B848" s="1">
        <v>0.65972222222222221</v>
      </c>
      <c r="C848" s="1">
        <v>0.74722222222222223</v>
      </c>
      <c r="E848" s="21">
        <f t="shared" si="13"/>
        <v>8.7500000000000022E-2</v>
      </c>
      <c r="G848" s="3" t="s">
        <v>198</v>
      </c>
      <c r="I848" s="3" t="s">
        <v>252</v>
      </c>
    </row>
    <row r="849" spans="1:11" x14ac:dyDescent="0.25">
      <c r="A849" s="20">
        <v>41792</v>
      </c>
      <c r="B849" s="1">
        <v>0.77430555555555547</v>
      </c>
      <c r="C849" s="1">
        <v>0.7993055555555556</v>
      </c>
      <c r="E849" s="21">
        <f t="shared" si="13"/>
        <v>2.5000000000000133E-2</v>
      </c>
      <c r="G849" s="3" t="s">
        <v>198</v>
      </c>
      <c r="I849" s="3" t="s">
        <v>252</v>
      </c>
    </row>
    <row r="850" spans="1:11" x14ac:dyDescent="0.25">
      <c r="E850" s="21">
        <f t="shared" si="13"/>
        <v>0</v>
      </c>
    </row>
    <row r="851" spans="1:11" x14ac:dyDescent="0.25">
      <c r="A851" s="20">
        <v>41793</v>
      </c>
      <c r="B851" s="1">
        <v>0.42638888888888887</v>
      </c>
      <c r="C851" s="1">
        <v>0.44166666666666665</v>
      </c>
      <c r="E851" s="21">
        <f t="shared" si="13"/>
        <v>1.5277777777777779E-2</v>
      </c>
      <c r="G851" s="3" t="s">
        <v>241</v>
      </c>
      <c r="I851" s="3" t="s">
        <v>271</v>
      </c>
    </row>
    <row r="852" spans="1:11" x14ac:dyDescent="0.25">
      <c r="A852" s="20">
        <v>41793</v>
      </c>
      <c r="B852" s="1">
        <v>0.47916666666666669</v>
      </c>
      <c r="C852" s="1">
        <v>0.52083333333333337</v>
      </c>
      <c r="E852" s="21">
        <f t="shared" si="13"/>
        <v>4.1666666666666685E-2</v>
      </c>
      <c r="G852" s="3" t="s">
        <v>241</v>
      </c>
      <c r="I852" s="3" t="s">
        <v>273</v>
      </c>
    </row>
    <row r="853" spans="1:11" x14ac:dyDescent="0.25">
      <c r="A853" s="20">
        <v>41793</v>
      </c>
      <c r="B853" s="1">
        <v>0.65833333333333333</v>
      </c>
      <c r="C853" s="1">
        <v>0.67083333333333339</v>
      </c>
      <c r="E853" s="21">
        <f t="shared" si="13"/>
        <v>1.2500000000000067E-2</v>
      </c>
      <c r="G853" s="3" t="s">
        <v>241</v>
      </c>
      <c r="I853" s="3" t="s">
        <v>272</v>
      </c>
    </row>
    <row r="854" spans="1:11" x14ac:dyDescent="0.25">
      <c r="A854" s="20">
        <v>41793</v>
      </c>
      <c r="B854" s="1">
        <v>0.69374999999999998</v>
      </c>
      <c r="C854" s="1">
        <v>0.72569444444444453</v>
      </c>
      <c r="E854" s="21">
        <f t="shared" si="13"/>
        <v>3.1944444444444553E-2</v>
      </c>
      <c r="G854" s="3" t="s">
        <v>198</v>
      </c>
      <c r="I854" s="3" t="s">
        <v>252</v>
      </c>
    </row>
    <row r="855" spans="1:11" x14ac:dyDescent="0.25">
      <c r="A855" s="20">
        <v>41793</v>
      </c>
      <c r="B855" s="1">
        <v>0.82638888888888884</v>
      </c>
      <c r="C855" s="1">
        <v>0.87152777777777779</v>
      </c>
      <c r="E855" s="21">
        <f t="shared" si="13"/>
        <v>4.5138888888888951E-2</v>
      </c>
      <c r="G855" s="3" t="s">
        <v>198</v>
      </c>
      <c r="I855" s="3" t="s">
        <v>252</v>
      </c>
      <c r="K855" s="2" t="s">
        <v>274</v>
      </c>
    </row>
    <row r="856" spans="1:11" x14ac:dyDescent="0.25">
      <c r="A856" s="20">
        <v>41793</v>
      </c>
      <c r="B856" s="1">
        <f>C855</f>
        <v>0.87152777777777779</v>
      </c>
      <c r="C856" s="1">
        <v>0.89027777777777783</v>
      </c>
      <c r="E856" s="21">
        <f t="shared" si="13"/>
        <v>1.8750000000000044E-2</v>
      </c>
      <c r="G856" s="3" t="s">
        <v>198</v>
      </c>
      <c r="I856" s="3" t="s">
        <v>252</v>
      </c>
      <c r="K856" s="2" t="s">
        <v>275</v>
      </c>
    </row>
    <row r="857" spans="1:11" x14ac:dyDescent="0.25">
      <c r="E857" s="21">
        <f t="shared" si="13"/>
        <v>0</v>
      </c>
    </row>
    <row r="858" spans="1:11" x14ac:dyDescent="0.25">
      <c r="A858" s="20">
        <v>41794</v>
      </c>
      <c r="B858" s="1">
        <v>0.44791666666666669</v>
      </c>
      <c r="C858" s="1">
        <v>0.47152777777777777</v>
      </c>
      <c r="E858" s="21">
        <f t="shared" si="13"/>
        <v>2.3611111111111083E-2</v>
      </c>
      <c r="G858" s="3" t="s">
        <v>198</v>
      </c>
      <c r="I858" s="3" t="s">
        <v>252</v>
      </c>
      <c r="K858" s="2" t="s">
        <v>276</v>
      </c>
    </row>
    <row r="859" spans="1:11" x14ac:dyDescent="0.25">
      <c r="A859" s="20">
        <v>41794</v>
      </c>
      <c r="B859" s="1">
        <v>0.48194444444444445</v>
      </c>
      <c r="C859" s="1">
        <v>0.52083333333333337</v>
      </c>
      <c r="E859" s="21">
        <f t="shared" si="13"/>
        <v>3.8888888888888917E-2</v>
      </c>
      <c r="G859" s="3" t="s">
        <v>198</v>
      </c>
      <c r="I859" s="3" t="s">
        <v>252</v>
      </c>
    </row>
    <row r="860" spans="1:11" x14ac:dyDescent="0.25">
      <c r="A860" s="20">
        <v>41794</v>
      </c>
      <c r="B860" s="1">
        <v>0.54166666666666663</v>
      </c>
      <c r="C860" s="1">
        <v>0.60763888888888895</v>
      </c>
      <c r="E860" s="21">
        <f t="shared" si="13"/>
        <v>6.5972222222222321E-2</v>
      </c>
      <c r="G860" s="3" t="s">
        <v>198</v>
      </c>
      <c r="I860" s="3" t="s">
        <v>252</v>
      </c>
    </row>
    <row r="861" spans="1:11" x14ac:dyDescent="0.25">
      <c r="A861" s="20">
        <v>41794</v>
      </c>
      <c r="B861" s="1">
        <v>0.61319444444444449</v>
      </c>
      <c r="C861" s="1">
        <v>0.73541666666666661</v>
      </c>
      <c r="D861" s="4">
        <v>2.4999999999999998E-2</v>
      </c>
      <c r="E861" s="21">
        <f t="shared" si="13"/>
        <v>0.10555555555555546</v>
      </c>
      <c r="G861" s="3" t="s">
        <v>198</v>
      </c>
      <c r="I861" s="3" t="s">
        <v>252</v>
      </c>
    </row>
    <row r="862" spans="1:11" x14ac:dyDescent="0.25">
      <c r="A862" s="20">
        <v>41794</v>
      </c>
      <c r="B862" s="1">
        <v>0.74444444444444446</v>
      </c>
      <c r="C862" s="1">
        <v>0.77500000000000002</v>
      </c>
      <c r="E862" s="21">
        <f t="shared" si="13"/>
        <v>3.0555555555555558E-2</v>
      </c>
      <c r="G862" s="3" t="s">
        <v>198</v>
      </c>
      <c r="I862" s="3" t="s">
        <v>252</v>
      </c>
    </row>
    <row r="863" spans="1:11" x14ac:dyDescent="0.25">
      <c r="A863" s="20">
        <v>41794</v>
      </c>
      <c r="B863" s="1">
        <v>0.80902777777777779</v>
      </c>
      <c r="C863" s="1">
        <v>0.84097222222222223</v>
      </c>
      <c r="E863" s="21">
        <f t="shared" si="13"/>
        <v>3.1944444444444442E-2</v>
      </c>
      <c r="G863" s="3" t="s">
        <v>198</v>
      </c>
      <c r="I863" s="3" t="s">
        <v>252</v>
      </c>
    </row>
    <row r="864" spans="1:11" x14ac:dyDescent="0.25">
      <c r="A864" s="20">
        <v>41794</v>
      </c>
      <c r="B864" s="1">
        <v>0.90833333333333333</v>
      </c>
      <c r="C864" s="1">
        <v>0.9590277777777777</v>
      </c>
      <c r="E864" s="21">
        <f t="shared" si="13"/>
        <v>5.0694444444444375E-2</v>
      </c>
      <c r="G864" s="9" t="s">
        <v>241</v>
      </c>
      <c r="I864" s="9" t="s">
        <v>6</v>
      </c>
      <c r="K864" s="8" t="s">
        <v>277</v>
      </c>
    </row>
    <row r="865" spans="1:11" x14ac:dyDescent="0.25">
      <c r="G865" s="9"/>
      <c r="I865" s="9"/>
      <c r="K865" s="8"/>
    </row>
    <row r="866" spans="1:11" x14ac:dyDescent="0.25">
      <c r="A866" s="20">
        <v>41795</v>
      </c>
      <c r="B866" s="1">
        <v>0.4375</v>
      </c>
      <c r="C866" s="1">
        <v>0.54166666666666663</v>
      </c>
      <c r="I866" s="9" t="s">
        <v>205</v>
      </c>
      <c r="K866" s="8" t="s">
        <v>286</v>
      </c>
    </row>
    <row r="867" spans="1:11" x14ac:dyDescent="0.25">
      <c r="A867" s="20">
        <v>41795</v>
      </c>
      <c r="B867" s="1">
        <v>0.59861111111111109</v>
      </c>
      <c r="C867" s="1">
        <v>0.64027777777777783</v>
      </c>
      <c r="E867" s="21">
        <f t="shared" si="13"/>
        <v>4.1666666666666741E-2</v>
      </c>
      <c r="G867" s="3" t="s">
        <v>241</v>
      </c>
      <c r="I867" s="3" t="s">
        <v>208</v>
      </c>
      <c r="K867" s="2" t="s">
        <v>278</v>
      </c>
    </row>
    <row r="868" spans="1:11" x14ac:dyDescent="0.25">
      <c r="A868" s="20">
        <v>41795</v>
      </c>
      <c r="B868" s="1">
        <v>0.79513888888888884</v>
      </c>
      <c r="C868" s="1">
        <v>0.81736111111111109</v>
      </c>
      <c r="E868" s="21">
        <f t="shared" si="13"/>
        <v>2.2222222222222254E-2</v>
      </c>
      <c r="G868" s="3" t="s">
        <v>198</v>
      </c>
      <c r="I868" s="3" t="s">
        <v>252</v>
      </c>
    </row>
    <row r="869" spans="1:11" x14ac:dyDescent="0.25">
      <c r="E869" s="21">
        <f t="shared" si="13"/>
        <v>0</v>
      </c>
    </row>
    <row r="870" spans="1:11" x14ac:dyDescent="0.25">
      <c r="A870" s="20">
        <v>41796</v>
      </c>
      <c r="B870" s="1">
        <v>0.43958333333333338</v>
      </c>
      <c r="C870" s="1">
        <v>0.48125000000000001</v>
      </c>
      <c r="E870" s="21">
        <f t="shared" si="13"/>
        <v>4.166666666666663E-2</v>
      </c>
      <c r="G870" s="3" t="s">
        <v>198</v>
      </c>
      <c r="I870" s="3" t="s">
        <v>252</v>
      </c>
      <c r="K870" s="8" t="s">
        <v>281</v>
      </c>
    </row>
    <row r="871" spans="1:11" x14ac:dyDescent="0.25">
      <c r="A871" s="20">
        <v>41796</v>
      </c>
      <c r="B871" s="1">
        <v>0.49305555555555558</v>
      </c>
      <c r="C871" s="1">
        <v>0.52777777777777779</v>
      </c>
      <c r="E871" s="21">
        <f t="shared" si="13"/>
        <v>3.472222222222221E-2</v>
      </c>
      <c r="G871" s="3" t="s">
        <v>198</v>
      </c>
      <c r="I871" s="3" t="s">
        <v>252</v>
      </c>
    </row>
    <row r="872" spans="1:11" x14ac:dyDescent="0.25">
      <c r="A872" s="20">
        <v>41796</v>
      </c>
      <c r="B872" s="1">
        <f>C871</f>
        <v>0.52777777777777779</v>
      </c>
      <c r="C872" s="1">
        <v>0.53888888888888886</v>
      </c>
      <c r="E872" s="21">
        <f t="shared" si="13"/>
        <v>1.1111111111111072E-2</v>
      </c>
      <c r="G872" s="9" t="s">
        <v>241</v>
      </c>
      <c r="I872" s="9" t="s">
        <v>279</v>
      </c>
      <c r="K872" s="8" t="s">
        <v>280</v>
      </c>
    </row>
    <row r="873" spans="1:11" x14ac:dyDescent="0.25">
      <c r="A873" s="20">
        <v>41796</v>
      </c>
      <c r="B873" s="1">
        <f>C872</f>
        <v>0.53888888888888886</v>
      </c>
      <c r="C873" s="1">
        <v>0.5541666666666667</v>
      </c>
      <c r="E873" s="21">
        <f t="shared" si="13"/>
        <v>1.5277777777777835E-2</v>
      </c>
      <c r="G873" s="3" t="s">
        <v>198</v>
      </c>
      <c r="I873" s="3" t="s">
        <v>252</v>
      </c>
    </row>
    <row r="874" spans="1:11" x14ac:dyDescent="0.25">
      <c r="A874" s="20">
        <v>41796</v>
      </c>
      <c r="B874" s="1">
        <f>C873</f>
        <v>0.5541666666666667</v>
      </c>
      <c r="C874" s="1">
        <v>0.58333333333333337</v>
      </c>
      <c r="E874" s="21">
        <f t="shared" si="13"/>
        <v>2.9166666666666674E-2</v>
      </c>
      <c r="G874" s="9" t="s">
        <v>241</v>
      </c>
      <c r="I874" s="9" t="s">
        <v>283</v>
      </c>
      <c r="K874" s="8" t="s">
        <v>282</v>
      </c>
    </row>
    <row r="875" spans="1:11" x14ac:dyDescent="0.25">
      <c r="A875" s="20">
        <v>41796</v>
      </c>
      <c r="B875" s="1">
        <v>0.60416666666666663</v>
      </c>
      <c r="C875" s="1">
        <v>0.68333333333333324</v>
      </c>
      <c r="E875" s="21">
        <f t="shared" si="13"/>
        <v>7.9166666666666607E-2</v>
      </c>
      <c r="G875" s="9" t="s">
        <v>241</v>
      </c>
      <c r="I875" s="9" t="s">
        <v>284</v>
      </c>
      <c r="K875" s="8" t="s">
        <v>285</v>
      </c>
    </row>
    <row r="876" spans="1:11" x14ac:dyDescent="0.25">
      <c r="A876" s="20">
        <v>41796</v>
      </c>
      <c r="B876" s="1">
        <f>C875</f>
        <v>0.68333333333333324</v>
      </c>
      <c r="C876" s="1">
        <v>0.72777777777777775</v>
      </c>
      <c r="E876" s="21">
        <f t="shared" si="13"/>
        <v>4.4444444444444509E-2</v>
      </c>
      <c r="G876" s="3" t="s">
        <v>198</v>
      </c>
      <c r="I876" s="3" t="s">
        <v>252</v>
      </c>
    </row>
    <row r="877" spans="1:11" x14ac:dyDescent="0.25">
      <c r="A877" s="20">
        <v>41796</v>
      </c>
      <c r="B877" s="1">
        <v>0.80625000000000002</v>
      </c>
      <c r="C877" s="1">
        <v>0.85902777777777783</v>
      </c>
      <c r="E877" s="21">
        <f t="shared" si="13"/>
        <v>5.2777777777777812E-2</v>
      </c>
      <c r="G877" s="3" t="s">
        <v>198</v>
      </c>
      <c r="I877" s="3" t="s">
        <v>252</v>
      </c>
    </row>
    <row r="878" spans="1:11" x14ac:dyDescent="0.25">
      <c r="A878" s="20">
        <v>41796</v>
      </c>
      <c r="B878" s="1">
        <v>0.98472222222222217</v>
      </c>
      <c r="C878" s="1">
        <v>0.99930555555555556</v>
      </c>
      <c r="E878" s="21">
        <f t="shared" si="13"/>
        <v>1.4583333333333393E-2</v>
      </c>
      <c r="G878" s="3" t="s">
        <v>198</v>
      </c>
      <c r="I878" s="3" t="s">
        <v>252</v>
      </c>
    </row>
    <row r="879" spans="1:11" x14ac:dyDescent="0.25">
      <c r="E879" s="21">
        <f t="shared" si="13"/>
        <v>0</v>
      </c>
    </row>
    <row r="880" spans="1:11" x14ac:dyDescent="0.25">
      <c r="A880" s="20">
        <v>41797</v>
      </c>
      <c r="B880" s="1">
        <v>0</v>
      </c>
      <c r="C880" s="1">
        <v>4.1666666666666666E-3</v>
      </c>
      <c r="E880" s="21">
        <f t="shared" si="13"/>
        <v>4.1666666666666666E-3</v>
      </c>
      <c r="G880" s="3" t="s">
        <v>198</v>
      </c>
      <c r="I880" s="3" t="s">
        <v>252</v>
      </c>
    </row>
    <row r="881" spans="1:11" x14ac:dyDescent="0.25">
      <c r="E881" s="21">
        <f t="shared" si="13"/>
        <v>0</v>
      </c>
    </row>
    <row r="882" spans="1:11" x14ac:dyDescent="0.25">
      <c r="A882" s="20">
        <v>41797</v>
      </c>
      <c r="B882" s="1">
        <v>0.3888888888888889</v>
      </c>
      <c r="C882" s="1">
        <v>0.59722222222222221</v>
      </c>
      <c r="E882" s="21">
        <f t="shared" si="13"/>
        <v>0.20833333333333331</v>
      </c>
      <c r="G882" s="9" t="s">
        <v>241</v>
      </c>
      <c r="I882" s="9" t="s">
        <v>287</v>
      </c>
    </row>
    <row r="883" spans="1:11" x14ac:dyDescent="0.25">
      <c r="E883" s="21">
        <f t="shared" si="13"/>
        <v>0</v>
      </c>
    </row>
    <row r="884" spans="1:11" x14ac:dyDescent="0.25">
      <c r="A884" s="20">
        <v>41802</v>
      </c>
      <c r="B884" s="1">
        <v>0.41666666666666669</v>
      </c>
      <c r="C884" s="1">
        <v>0.46875</v>
      </c>
      <c r="E884" s="21">
        <f t="shared" si="13"/>
        <v>5.2083333333333315E-2</v>
      </c>
      <c r="F884" s="25">
        <f>SUM(E884:E892)</f>
        <v>0.36249999999999999</v>
      </c>
      <c r="G884" s="3" t="s">
        <v>241</v>
      </c>
      <c r="I884" s="3" t="s">
        <v>13</v>
      </c>
      <c r="K884" s="2" t="s">
        <v>288</v>
      </c>
    </row>
    <row r="885" spans="1:11" x14ac:dyDescent="0.25">
      <c r="A885" s="20">
        <v>41802</v>
      </c>
      <c r="B885" s="1">
        <v>0.48958333333333331</v>
      </c>
      <c r="C885" s="1">
        <v>0.59375</v>
      </c>
      <c r="E885" s="21">
        <f t="shared" si="13"/>
        <v>0.10416666666666669</v>
      </c>
      <c r="G885" s="3" t="s">
        <v>241</v>
      </c>
      <c r="I885" s="3" t="s">
        <v>13</v>
      </c>
      <c r="K885" s="2" t="s">
        <v>289</v>
      </c>
    </row>
    <row r="886" spans="1:11" x14ac:dyDescent="0.25">
      <c r="E886" s="21">
        <f t="shared" ref="E886:E1025" si="14">IF(D886&lt;(12/1440),C886-B886,C886-B886-D886+(12/1440))</f>
        <v>0</v>
      </c>
    </row>
    <row r="887" spans="1:11" x14ac:dyDescent="0.25">
      <c r="A887" s="20">
        <v>41803</v>
      </c>
      <c r="B887" s="1">
        <v>0.66666666666666663</v>
      </c>
      <c r="C887" s="1">
        <v>0.75</v>
      </c>
      <c r="E887" s="21">
        <f t="shared" si="14"/>
        <v>8.333333333333337E-2</v>
      </c>
      <c r="G887" s="3" t="s">
        <v>240</v>
      </c>
      <c r="I887" s="3" t="s">
        <v>252</v>
      </c>
    </row>
    <row r="888" spans="1:11" x14ac:dyDescent="0.25">
      <c r="E888" s="21">
        <f t="shared" si="14"/>
        <v>0</v>
      </c>
    </row>
    <row r="889" spans="1:11" x14ac:dyDescent="0.25">
      <c r="A889" s="20">
        <v>41804</v>
      </c>
      <c r="B889" s="1">
        <v>0.3888888888888889</v>
      </c>
      <c r="C889" s="1">
        <v>0.43055555555555558</v>
      </c>
      <c r="E889" s="21">
        <f t="shared" si="14"/>
        <v>4.1666666666666685E-2</v>
      </c>
      <c r="G889" s="3" t="s">
        <v>228</v>
      </c>
      <c r="I889" s="3" t="s">
        <v>290</v>
      </c>
      <c r="K889" s="2" t="s">
        <v>291</v>
      </c>
    </row>
    <row r="890" spans="1:11" x14ac:dyDescent="0.25">
      <c r="A890" s="20">
        <v>41804</v>
      </c>
      <c r="B890" s="1">
        <v>0.66180555555555554</v>
      </c>
      <c r="C890" s="1">
        <v>0.68263888888888891</v>
      </c>
      <c r="E890" s="21">
        <f t="shared" si="14"/>
        <v>2.083333333333337E-2</v>
      </c>
      <c r="G890" s="3" t="s">
        <v>259</v>
      </c>
      <c r="I890" s="3" t="s">
        <v>292</v>
      </c>
      <c r="K890" s="2" t="s">
        <v>293</v>
      </c>
    </row>
    <row r="891" spans="1:11" x14ac:dyDescent="0.25">
      <c r="A891" s="20">
        <v>41804</v>
      </c>
      <c r="B891" s="1">
        <v>0.68263888888888891</v>
      </c>
      <c r="C891" s="1">
        <v>0.72430555555555554</v>
      </c>
      <c r="E891" s="21">
        <f t="shared" si="14"/>
        <v>4.166666666666663E-2</v>
      </c>
      <c r="G891" s="3" t="s">
        <v>241</v>
      </c>
      <c r="I891" s="3" t="s">
        <v>208</v>
      </c>
    </row>
    <row r="892" spans="1:11" x14ac:dyDescent="0.25">
      <c r="A892" s="20">
        <v>41804</v>
      </c>
      <c r="B892" s="1">
        <v>0.85555555555555562</v>
      </c>
      <c r="C892" s="1">
        <v>0.87430555555555556</v>
      </c>
      <c r="D892" s="4">
        <v>7.6388888888888886E-3</v>
      </c>
      <c r="E892" s="21">
        <f t="shared" si="14"/>
        <v>1.8749999999999933E-2</v>
      </c>
      <c r="G892" s="3" t="s">
        <v>240</v>
      </c>
      <c r="I892" s="3" t="s">
        <v>252</v>
      </c>
    </row>
    <row r="893" spans="1:11" x14ac:dyDescent="0.25">
      <c r="E893" s="21">
        <f t="shared" si="14"/>
        <v>0</v>
      </c>
    </row>
    <row r="894" spans="1:11" x14ac:dyDescent="0.25">
      <c r="A894" s="20">
        <v>41806</v>
      </c>
      <c r="B894" s="1">
        <v>0.68958333333333333</v>
      </c>
      <c r="C894" s="1">
        <v>0.78125</v>
      </c>
      <c r="D894" s="4">
        <v>3.8194444444444441E-2</v>
      </c>
      <c r="E894" s="21">
        <f t="shared" si="14"/>
        <v>6.1805555555555565E-2</v>
      </c>
      <c r="F894" s="25">
        <f>SUM(E894:E912)</f>
        <v>0.86111111111111072</v>
      </c>
      <c r="G894" s="3" t="s">
        <v>240</v>
      </c>
      <c r="I894" s="3" t="s">
        <v>252</v>
      </c>
    </row>
    <row r="895" spans="1:11" x14ac:dyDescent="0.25">
      <c r="A895" s="20">
        <v>41806</v>
      </c>
      <c r="B895" s="1">
        <v>0.82986111111111116</v>
      </c>
      <c r="C895" s="1">
        <v>0.84375</v>
      </c>
      <c r="E895" s="21">
        <f t="shared" si="14"/>
        <v>1.388888888888884E-2</v>
      </c>
      <c r="G895" s="3" t="s">
        <v>228</v>
      </c>
      <c r="I895" s="3" t="s">
        <v>13</v>
      </c>
      <c r="K895" s="2" t="s">
        <v>294</v>
      </c>
    </row>
    <row r="896" spans="1:11" x14ac:dyDescent="0.25">
      <c r="A896" s="20">
        <v>41806</v>
      </c>
      <c r="B896" s="1">
        <v>0.87916666666666676</v>
      </c>
      <c r="C896" s="1">
        <v>0.94305555555555554</v>
      </c>
      <c r="D896" s="4">
        <v>6.9444444444444441E-3</v>
      </c>
      <c r="E896" s="21">
        <f t="shared" si="14"/>
        <v>6.3888888888888773E-2</v>
      </c>
      <c r="G896" s="3" t="s">
        <v>240</v>
      </c>
      <c r="I896" s="3" t="s">
        <v>252</v>
      </c>
    </row>
    <row r="897" spans="1:11" x14ac:dyDescent="0.25">
      <c r="E897" s="21">
        <f t="shared" si="14"/>
        <v>0</v>
      </c>
    </row>
    <row r="898" spans="1:11" x14ac:dyDescent="0.25">
      <c r="A898" s="20">
        <v>41807</v>
      </c>
      <c r="B898" s="1">
        <v>0.44236111111111115</v>
      </c>
      <c r="C898" s="1">
        <v>0.48333333333333334</v>
      </c>
      <c r="D898" s="4">
        <v>7.6388888888888886E-3</v>
      </c>
      <c r="E898" s="21">
        <f t="shared" si="14"/>
        <v>4.0972222222222188E-2</v>
      </c>
      <c r="G898" s="3" t="s">
        <v>240</v>
      </c>
      <c r="I898" s="3" t="s">
        <v>252</v>
      </c>
    </row>
    <row r="899" spans="1:11" x14ac:dyDescent="0.25">
      <c r="A899" s="20">
        <v>41807</v>
      </c>
      <c r="B899" s="1">
        <v>0.52638888888888891</v>
      </c>
      <c r="C899" s="1">
        <v>0.74305555555555547</v>
      </c>
      <c r="D899" s="4">
        <v>2.4305555555555556E-2</v>
      </c>
      <c r="E899" s="21">
        <f t="shared" si="14"/>
        <v>0.20069444444444434</v>
      </c>
      <c r="G899" s="3" t="s">
        <v>240</v>
      </c>
      <c r="I899" s="3" t="s">
        <v>252</v>
      </c>
      <c r="K899" s="2" t="s">
        <v>295</v>
      </c>
    </row>
    <row r="900" spans="1:11" x14ac:dyDescent="0.25">
      <c r="A900" s="20">
        <v>41807</v>
      </c>
      <c r="B900" s="1">
        <v>0.96875</v>
      </c>
      <c r="C900" s="1">
        <v>0.98055555555555562</v>
      </c>
      <c r="E900" s="21">
        <f t="shared" si="14"/>
        <v>1.1805555555555625E-2</v>
      </c>
      <c r="G900" s="3" t="s">
        <v>240</v>
      </c>
      <c r="I900" s="3" t="s">
        <v>252</v>
      </c>
      <c r="K900" s="2" t="s">
        <v>296</v>
      </c>
    </row>
    <row r="901" spans="1:11" x14ac:dyDescent="0.25">
      <c r="E901" s="21">
        <f t="shared" si="14"/>
        <v>0</v>
      </c>
    </row>
    <row r="902" spans="1:11" x14ac:dyDescent="0.25">
      <c r="A902" s="20">
        <v>41808</v>
      </c>
      <c r="B902" s="1">
        <v>0.3923611111111111</v>
      </c>
      <c r="C902" s="1">
        <v>0.39583333333333331</v>
      </c>
      <c r="E902" s="21">
        <f t="shared" si="14"/>
        <v>3.4722222222222099E-3</v>
      </c>
      <c r="G902" s="3" t="s">
        <v>241</v>
      </c>
      <c r="I902" s="3" t="s">
        <v>13</v>
      </c>
      <c r="K902" s="2" t="s">
        <v>297</v>
      </c>
    </row>
    <row r="903" spans="1:11" x14ac:dyDescent="0.25">
      <c r="A903" s="20">
        <v>41808</v>
      </c>
      <c r="B903" s="1">
        <v>0.4375</v>
      </c>
      <c r="C903" s="1">
        <v>0.45833333333333331</v>
      </c>
      <c r="E903" s="21">
        <f t="shared" si="14"/>
        <v>2.0833333333333315E-2</v>
      </c>
      <c r="G903" s="3" t="s">
        <v>241</v>
      </c>
      <c r="I903" s="3" t="s">
        <v>13</v>
      </c>
      <c r="K903" s="2" t="s">
        <v>298</v>
      </c>
    </row>
    <row r="904" spans="1:11" x14ac:dyDescent="0.25">
      <c r="A904" s="20">
        <v>41808</v>
      </c>
      <c r="B904" s="1">
        <v>0.63888888888888895</v>
      </c>
      <c r="C904" s="1">
        <v>0.71875</v>
      </c>
      <c r="E904" s="21">
        <f t="shared" si="14"/>
        <v>7.9861111111111049E-2</v>
      </c>
      <c r="G904" s="3" t="s">
        <v>228</v>
      </c>
      <c r="I904" s="3" t="s">
        <v>13</v>
      </c>
      <c r="K904" s="2" t="s">
        <v>299</v>
      </c>
    </row>
    <row r="905" spans="1:11" x14ac:dyDescent="0.25">
      <c r="A905" s="20">
        <v>41808</v>
      </c>
      <c r="B905" s="1">
        <v>0.90625</v>
      </c>
      <c r="C905" s="1">
        <v>0.94791666666666663</v>
      </c>
      <c r="E905" s="21">
        <f t="shared" si="14"/>
        <v>4.166666666666663E-2</v>
      </c>
      <c r="G905" s="3" t="s">
        <v>240</v>
      </c>
      <c r="I905" s="3" t="s">
        <v>252</v>
      </c>
    </row>
    <row r="906" spans="1:11" x14ac:dyDescent="0.25">
      <c r="E906" s="21">
        <f t="shared" si="14"/>
        <v>0</v>
      </c>
    </row>
    <row r="907" spans="1:11" x14ac:dyDescent="0.25">
      <c r="A907" s="20">
        <v>41809</v>
      </c>
      <c r="B907" s="1">
        <v>0.41805555555555557</v>
      </c>
      <c r="C907" s="1">
        <v>0.43611111111111112</v>
      </c>
      <c r="E907" s="21">
        <f t="shared" si="14"/>
        <v>1.8055555555555547E-2</v>
      </c>
      <c r="G907" s="3" t="s">
        <v>240</v>
      </c>
      <c r="I907" s="3" t="s">
        <v>252</v>
      </c>
    </row>
    <row r="908" spans="1:11" x14ac:dyDescent="0.25">
      <c r="A908" s="20">
        <v>41809</v>
      </c>
      <c r="B908" s="1">
        <v>0.54166666666666663</v>
      </c>
      <c r="C908" s="1">
        <v>0.58958333333333335</v>
      </c>
      <c r="E908" s="21">
        <f t="shared" si="14"/>
        <v>4.7916666666666718E-2</v>
      </c>
      <c r="G908" s="3" t="s">
        <v>240</v>
      </c>
      <c r="I908" s="3" t="s">
        <v>252</v>
      </c>
    </row>
    <row r="909" spans="1:11" x14ac:dyDescent="0.25">
      <c r="A909" s="20">
        <v>41809</v>
      </c>
      <c r="B909" s="1">
        <v>0.62777777777777777</v>
      </c>
      <c r="C909" s="1">
        <v>0.70763888888888893</v>
      </c>
      <c r="D909" s="4">
        <v>2.0833333333333332E-2</v>
      </c>
      <c r="E909" s="21">
        <f t="shared" si="14"/>
        <v>6.7361111111111163E-2</v>
      </c>
      <c r="G909" s="3" t="s">
        <v>240</v>
      </c>
      <c r="I909" s="3" t="s">
        <v>252</v>
      </c>
      <c r="K909" s="2" t="s">
        <v>300</v>
      </c>
    </row>
    <row r="910" spans="1:11" x14ac:dyDescent="0.25">
      <c r="A910" s="20">
        <v>41809</v>
      </c>
      <c r="B910" s="1">
        <f>C909</f>
        <v>0.70763888888888893</v>
      </c>
      <c r="C910" s="1">
        <v>0.72986111111111107</v>
      </c>
      <c r="E910" s="21">
        <f t="shared" si="14"/>
        <v>2.2222222222222143E-2</v>
      </c>
      <c r="G910" s="3" t="s">
        <v>240</v>
      </c>
      <c r="I910" s="3" t="s">
        <v>252</v>
      </c>
      <c r="K910" s="2" t="s">
        <v>301</v>
      </c>
    </row>
    <row r="911" spans="1:11" x14ac:dyDescent="0.25">
      <c r="E911" s="21">
        <f t="shared" si="14"/>
        <v>0</v>
      </c>
    </row>
    <row r="912" spans="1:11" x14ac:dyDescent="0.25">
      <c r="A912" s="20">
        <v>41811</v>
      </c>
      <c r="B912" s="1">
        <v>0.58333333333333337</v>
      </c>
      <c r="C912" s="1">
        <v>0.75</v>
      </c>
      <c r="E912" s="21">
        <f t="shared" si="14"/>
        <v>0.16666666666666663</v>
      </c>
      <c r="G912" s="3" t="s">
        <v>240</v>
      </c>
      <c r="I912" s="3" t="s">
        <v>252</v>
      </c>
    </row>
    <row r="913" spans="1:11" x14ac:dyDescent="0.25">
      <c r="E913" s="21">
        <f t="shared" si="14"/>
        <v>0</v>
      </c>
    </row>
    <row r="914" spans="1:11" x14ac:dyDescent="0.25">
      <c r="A914" s="20">
        <v>41813</v>
      </c>
      <c r="B914" s="1">
        <v>0.6875</v>
      </c>
      <c r="C914" s="1">
        <v>0.70833333333333337</v>
      </c>
      <c r="E914" s="21">
        <f t="shared" si="14"/>
        <v>2.083333333333337E-2</v>
      </c>
      <c r="F914" s="25">
        <f>SUM(E914:E936)</f>
        <v>1.0319444444444446</v>
      </c>
      <c r="G914" s="3" t="s">
        <v>240</v>
      </c>
      <c r="I914" s="3" t="s">
        <v>252</v>
      </c>
    </row>
    <row r="915" spans="1:11" x14ac:dyDescent="0.25">
      <c r="E915" s="21">
        <f t="shared" si="14"/>
        <v>0</v>
      </c>
    </row>
    <row r="916" spans="1:11" x14ac:dyDescent="0.25">
      <c r="A916" s="20">
        <v>41814</v>
      </c>
      <c r="B916" s="1">
        <v>0.66666666666666663</v>
      </c>
      <c r="C916" s="1">
        <v>0.68541666666666667</v>
      </c>
      <c r="E916" s="21">
        <f t="shared" si="14"/>
        <v>1.8750000000000044E-2</v>
      </c>
      <c r="G916" s="3" t="s">
        <v>240</v>
      </c>
      <c r="I916" s="3" t="s">
        <v>252</v>
      </c>
      <c r="K916" s="2" t="s">
        <v>302</v>
      </c>
    </row>
    <row r="917" spans="1:11" x14ac:dyDescent="0.25">
      <c r="A917" s="20">
        <v>41814</v>
      </c>
      <c r="B917" s="1">
        <v>0.77638888888888891</v>
      </c>
      <c r="C917" s="1">
        <v>0.90138888888888891</v>
      </c>
      <c r="E917" s="21">
        <f t="shared" si="14"/>
        <v>0.125</v>
      </c>
      <c r="G917" s="3" t="s">
        <v>240</v>
      </c>
      <c r="I917" s="3" t="s">
        <v>252</v>
      </c>
      <c r="K917" s="2" t="s">
        <v>303</v>
      </c>
    </row>
    <row r="918" spans="1:11" x14ac:dyDescent="0.25">
      <c r="A918" s="20">
        <v>41814</v>
      </c>
      <c r="B918" s="1">
        <v>0.92708333333333337</v>
      </c>
      <c r="C918" s="1">
        <v>0.94374999999999998</v>
      </c>
      <c r="E918" s="21">
        <f t="shared" si="14"/>
        <v>1.6666666666666607E-2</v>
      </c>
      <c r="G918" s="3" t="s">
        <v>240</v>
      </c>
      <c r="I918" s="3" t="s">
        <v>252</v>
      </c>
      <c r="K918" s="2" t="s">
        <v>304</v>
      </c>
    </row>
    <row r="919" spans="1:11" x14ac:dyDescent="0.25">
      <c r="E919" s="21">
        <f t="shared" si="14"/>
        <v>0</v>
      </c>
    </row>
    <row r="920" spans="1:11" x14ac:dyDescent="0.25">
      <c r="A920" s="20">
        <v>41815</v>
      </c>
      <c r="B920" s="1">
        <v>0.47569444444444442</v>
      </c>
      <c r="C920" s="1">
        <v>0.52430555555555558</v>
      </c>
      <c r="E920" s="21">
        <f t="shared" si="14"/>
        <v>4.861111111111116E-2</v>
      </c>
      <c r="G920" s="3" t="s">
        <v>240</v>
      </c>
      <c r="I920" s="3" t="s">
        <v>252</v>
      </c>
    </row>
    <row r="921" spans="1:11" x14ac:dyDescent="0.25">
      <c r="A921" s="20">
        <v>41815</v>
      </c>
      <c r="B921" s="1">
        <v>0.61458333333333337</v>
      </c>
      <c r="C921" s="1">
        <v>0.67499999999999993</v>
      </c>
      <c r="D921" s="4">
        <v>1.4583333333333332E-2</v>
      </c>
      <c r="E921" s="21">
        <f t="shared" si="14"/>
        <v>5.4166666666666564E-2</v>
      </c>
      <c r="G921" s="3" t="s">
        <v>240</v>
      </c>
      <c r="I921" s="3" t="s">
        <v>252</v>
      </c>
    </row>
    <row r="922" spans="1:11" x14ac:dyDescent="0.25">
      <c r="A922" s="20">
        <v>41815</v>
      </c>
      <c r="B922" s="1">
        <v>0.70624999999999993</v>
      </c>
      <c r="C922" s="1">
        <v>0.73125000000000007</v>
      </c>
      <c r="E922" s="21">
        <f t="shared" si="14"/>
        <v>2.5000000000000133E-2</v>
      </c>
      <c r="G922" s="3" t="s">
        <v>240</v>
      </c>
      <c r="I922" s="3" t="s">
        <v>252</v>
      </c>
    </row>
    <row r="923" spans="1:11" x14ac:dyDescent="0.25">
      <c r="A923" s="20">
        <v>41815</v>
      </c>
      <c r="B923" s="1">
        <f>C922</f>
        <v>0.73125000000000007</v>
      </c>
      <c r="C923" s="1">
        <v>0.74097222222222225</v>
      </c>
      <c r="E923" s="21">
        <f t="shared" si="14"/>
        <v>9.7222222222221877E-3</v>
      </c>
      <c r="G923" s="3" t="s">
        <v>241</v>
      </c>
      <c r="I923" s="3" t="s">
        <v>208</v>
      </c>
    </row>
    <row r="924" spans="1:11" x14ac:dyDescent="0.25">
      <c r="A924" s="20">
        <v>41815</v>
      </c>
      <c r="B924" s="1">
        <v>0.75347222222222221</v>
      </c>
      <c r="C924" s="1">
        <v>0.77222222222222225</v>
      </c>
      <c r="E924" s="21">
        <f t="shared" si="14"/>
        <v>1.8750000000000044E-2</v>
      </c>
      <c r="G924" s="3" t="s">
        <v>240</v>
      </c>
      <c r="I924" s="3" t="s">
        <v>252</v>
      </c>
    </row>
    <row r="925" spans="1:11" x14ac:dyDescent="0.25">
      <c r="A925" s="20">
        <v>41815</v>
      </c>
      <c r="B925" s="1">
        <v>0.8041666666666667</v>
      </c>
      <c r="C925" s="1">
        <v>0.96805555555555556</v>
      </c>
      <c r="D925" s="4">
        <v>1.7361111111111112E-2</v>
      </c>
      <c r="E925" s="21">
        <f t="shared" si="14"/>
        <v>0.15486111111111109</v>
      </c>
      <c r="G925" s="3" t="s">
        <v>240</v>
      </c>
      <c r="I925" s="3" t="s">
        <v>252</v>
      </c>
    </row>
    <row r="926" spans="1:11" x14ac:dyDescent="0.25">
      <c r="E926" s="21">
        <f t="shared" si="14"/>
        <v>0</v>
      </c>
    </row>
    <row r="927" spans="1:11" x14ac:dyDescent="0.25">
      <c r="A927" s="20">
        <v>41816</v>
      </c>
      <c r="B927" s="1">
        <v>0.43194444444444446</v>
      </c>
      <c r="C927" s="1">
        <v>0.50763888888888886</v>
      </c>
      <c r="D927" s="4">
        <v>2.0833333333333332E-2</v>
      </c>
      <c r="E927" s="21">
        <f t="shared" si="14"/>
        <v>6.31944444444444E-2</v>
      </c>
      <c r="G927" s="3" t="s">
        <v>241</v>
      </c>
      <c r="I927" s="3" t="s">
        <v>208</v>
      </c>
    </row>
    <row r="928" spans="1:11" x14ac:dyDescent="0.25">
      <c r="A928" s="20">
        <v>41816</v>
      </c>
      <c r="B928" s="1">
        <v>0.60416666666666663</v>
      </c>
      <c r="C928" s="1">
        <v>0.71458333333333324</v>
      </c>
      <c r="D928" s="4">
        <v>1.1805555555555555E-2</v>
      </c>
      <c r="E928" s="21">
        <f t="shared" si="14"/>
        <v>0.10694444444444438</v>
      </c>
      <c r="G928" s="3" t="s">
        <v>240</v>
      </c>
      <c r="I928" s="3" t="s">
        <v>252</v>
      </c>
    </row>
    <row r="929" spans="1:11" x14ac:dyDescent="0.25">
      <c r="A929" s="20">
        <v>41816</v>
      </c>
      <c r="B929" s="1">
        <v>0.73958333333333337</v>
      </c>
      <c r="C929" s="1">
        <v>0.81944444444444453</v>
      </c>
      <c r="E929" s="21">
        <f t="shared" si="14"/>
        <v>7.986111111111116E-2</v>
      </c>
      <c r="G929" s="3" t="s">
        <v>240</v>
      </c>
      <c r="I929" s="3" t="s">
        <v>252</v>
      </c>
    </row>
    <row r="930" spans="1:11" x14ac:dyDescent="0.25">
      <c r="A930" s="20">
        <v>41816</v>
      </c>
      <c r="B930" s="1">
        <v>0.84861111111111109</v>
      </c>
      <c r="C930" s="1">
        <v>0.85972222222222217</v>
      </c>
      <c r="E930" s="21">
        <f t="shared" si="14"/>
        <v>1.1111111111111072E-2</v>
      </c>
      <c r="G930" s="3" t="s">
        <v>240</v>
      </c>
      <c r="I930" s="3" t="s">
        <v>252</v>
      </c>
      <c r="K930" s="2" t="s">
        <v>305</v>
      </c>
    </row>
    <row r="931" spans="1:11" x14ac:dyDescent="0.25">
      <c r="A931" s="20">
        <v>41816</v>
      </c>
      <c r="B931" s="1">
        <v>0.88680555555555562</v>
      </c>
      <c r="C931" s="1">
        <v>0.90694444444444444</v>
      </c>
      <c r="E931" s="21">
        <f t="shared" si="14"/>
        <v>2.0138888888888817E-2</v>
      </c>
      <c r="G931" s="3" t="s">
        <v>240</v>
      </c>
      <c r="I931" s="3" t="s">
        <v>252</v>
      </c>
      <c r="K931" s="2" t="s">
        <v>310</v>
      </c>
    </row>
    <row r="932" spans="1:11" x14ac:dyDescent="0.25">
      <c r="E932" s="21">
        <f t="shared" si="14"/>
        <v>0</v>
      </c>
    </row>
    <row r="933" spans="1:11" x14ac:dyDescent="0.25">
      <c r="A933" s="20">
        <v>41817</v>
      </c>
      <c r="B933" s="1">
        <v>0.56736111111111109</v>
      </c>
      <c r="C933" s="1">
        <v>0.7055555555555556</v>
      </c>
      <c r="D933" s="4">
        <v>2.0833333333333332E-2</v>
      </c>
      <c r="E933" s="21">
        <f t="shared" si="14"/>
        <v>0.12569444444444453</v>
      </c>
      <c r="G933" s="3" t="s">
        <v>240</v>
      </c>
      <c r="I933" s="3" t="s">
        <v>252</v>
      </c>
      <c r="K933" s="2" t="s">
        <v>311</v>
      </c>
    </row>
    <row r="934" spans="1:11" x14ac:dyDescent="0.25">
      <c r="E934" s="21">
        <f t="shared" si="14"/>
        <v>0</v>
      </c>
    </row>
    <row r="935" spans="1:11" x14ac:dyDescent="0.25">
      <c r="A935" s="20">
        <v>41818</v>
      </c>
      <c r="B935" s="1">
        <v>0.47569444444444442</v>
      </c>
      <c r="C935" s="1">
        <v>0.54861111111111105</v>
      </c>
      <c r="E935" s="21">
        <f t="shared" si="14"/>
        <v>7.291666666666663E-2</v>
      </c>
      <c r="G935" s="3" t="s">
        <v>306</v>
      </c>
      <c r="I935" s="3" t="s">
        <v>308</v>
      </c>
      <c r="K935" s="2" t="s">
        <v>309</v>
      </c>
    </row>
    <row r="936" spans="1:11" x14ac:dyDescent="0.25">
      <c r="A936" s="20">
        <v>41818</v>
      </c>
      <c r="B936" s="1">
        <v>0.70277777777777783</v>
      </c>
      <c r="C936" s="1">
        <v>0.76250000000000007</v>
      </c>
      <c r="D936" s="4">
        <v>7.6388888888888886E-3</v>
      </c>
      <c r="E936" s="21">
        <f t="shared" si="14"/>
        <v>5.9722222222222232E-2</v>
      </c>
      <c r="G936" s="3" t="s">
        <v>306</v>
      </c>
      <c r="I936" s="3" t="s">
        <v>308</v>
      </c>
    </row>
    <row r="937" spans="1:11" x14ac:dyDescent="0.25">
      <c r="E937" s="21">
        <f t="shared" si="14"/>
        <v>0</v>
      </c>
    </row>
    <row r="938" spans="1:11" x14ac:dyDescent="0.25">
      <c r="A938" s="20">
        <v>41820</v>
      </c>
      <c r="B938" s="1">
        <v>0.60069444444444442</v>
      </c>
      <c r="C938" s="1">
        <v>0.62152777777777779</v>
      </c>
      <c r="E938" s="21">
        <f t="shared" si="14"/>
        <v>2.083333333333337E-2</v>
      </c>
      <c r="F938" s="25">
        <f>SUM(E938:E948)</f>
        <v>0.46666666666666629</v>
      </c>
      <c r="G938" s="3" t="s">
        <v>240</v>
      </c>
      <c r="I938" s="3" t="s">
        <v>252</v>
      </c>
    </row>
    <row r="939" spans="1:11" x14ac:dyDescent="0.25">
      <c r="A939" s="20">
        <v>41820</v>
      </c>
      <c r="B939" s="1">
        <v>0.72569444444444453</v>
      </c>
      <c r="C939" s="1">
        <v>0.73958333333333337</v>
      </c>
      <c r="E939" s="21">
        <f t="shared" si="14"/>
        <v>1.388888888888884E-2</v>
      </c>
      <c r="G939" s="3" t="s">
        <v>240</v>
      </c>
      <c r="I939" s="3" t="s">
        <v>252</v>
      </c>
    </row>
    <row r="940" spans="1:11" x14ac:dyDescent="0.25">
      <c r="A940" s="20">
        <v>41820</v>
      </c>
      <c r="B940" s="1">
        <v>0.8125</v>
      </c>
      <c r="C940" s="1">
        <v>0.83958333333333324</v>
      </c>
      <c r="E940" s="21">
        <f t="shared" si="14"/>
        <v>2.7083333333333237E-2</v>
      </c>
      <c r="G940" s="3" t="s">
        <v>240</v>
      </c>
      <c r="I940" s="3" t="s">
        <v>252</v>
      </c>
      <c r="K940" s="2" t="s">
        <v>310</v>
      </c>
    </row>
    <row r="941" spans="1:11" x14ac:dyDescent="0.25">
      <c r="E941" s="21">
        <f t="shared" si="14"/>
        <v>0</v>
      </c>
    </row>
    <row r="942" spans="1:11" x14ac:dyDescent="0.25">
      <c r="A942" s="20">
        <v>41821</v>
      </c>
      <c r="B942" s="1">
        <v>0.61458333333333337</v>
      </c>
      <c r="C942" s="1">
        <v>0.82430555555555562</v>
      </c>
      <c r="D942" s="4">
        <v>2.4305555555555556E-2</v>
      </c>
      <c r="E942" s="21">
        <f t="shared" si="14"/>
        <v>0.19375000000000003</v>
      </c>
      <c r="G942" s="3" t="s">
        <v>306</v>
      </c>
      <c r="I942" s="3" t="s">
        <v>308</v>
      </c>
    </row>
    <row r="943" spans="1:11" x14ac:dyDescent="0.25">
      <c r="A943" s="20">
        <v>41821</v>
      </c>
      <c r="B943" s="1">
        <v>0.85555555555555562</v>
      </c>
      <c r="C943" s="1">
        <v>0.86388888888888893</v>
      </c>
      <c r="E943" s="21">
        <f t="shared" si="14"/>
        <v>8.3333333333333037E-3</v>
      </c>
      <c r="G943" s="3" t="s">
        <v>306</v>
      </c>
      <c r="I943" s="3" t="s">
        <v>308</v>
      </c>
    </row>
    <row r="944" spans="1:11" x14ac:dyDescent="0.25">
      <c r="A944" s="20">
        <v>41821</v>
      </c>
      <c r="B944" s="1">
        <v>0.89236111111111116</v>
      </c>
      <c r="C944" s="1">
        <v>0.97361111111111109</v>
      </c>
      <c r="D944" s="4">
        <v>1.5277777777777777E-2</v>
      </c>
      <c r="E944" s="21">
        <f t="shared" si="14"/>
        <v>7.4305555555555486E-2</v>
      </c>
      <c r="G944" s="3" t="s">
        <v>306</v>
      </c>
      <c r="I944" s="3" t="s">
        <v>308</v>
      </c>
    </row>
    <row r="945" spans="1:11" x14ac:dyDescent="0.25">
      <c r="E945" s="21">
        <f t="shared" si="14"/>
        <v>0</v>
      </c>
    </row>
    <row r="946" spans="1:11" x14ac:dyDescent="0.25">
      <c r="A946" s="20">
        <v>41822</v>
      </c>
      <c r="B946" s="1">
        <v>0.49305555555555558</v>
      </c>
      <c r="C946" s="1">
        <v>0.55069444444444449</v>
      </c>
      <c r="D946" s="4">
        <v>1.7361111111111112E-2</v>
      </c>
      <c r="E946" s="21">
        <f t="shared" si="14"/>
        <v>4.8611111111111126E-2</v>
      </c>
      <c r="G946" s="3" t="s">
        <v>306</v>
      </c>
      <c r="I946" s="3" t="s">
        <v>308</v>
      </c>
    </row>
    <row r="947" spans="1:11" x14ac:dyDescent="0.25">
      <c r="A947" s="20">
        <v>41822</v>
      </c>
      <c r="B947" s="1">
        <v>0.64583333333333337</v>
      </c>
      <c r="C947" s="1">
        <v>0.6875</v>
      </c>
      <c r="E947" s="21">
        <f t="shared" si="14"/>
        <v>4.166666666666663E-2</v>
      </c>
      <c r="G947" s="3" t="s">
        <v>241</v>
      </c>
      <c r="I947" s="3" t="s">
        <v>208</v>
      </c>
    </row>
    <row r="948" spans="1:11" x14ac:dyDescent="0.25">
      <c r="A948" s="20">
        <v>41822</v>
      </c>
      <c r="B948" s="1">
        <v>0.94444444444444453</v>
      </c>
      <c r="C948" s="1">
        <v>0.98263888888888884</v>
      </c>
      <c r="E948" s="21">
        <f t="shared" si="14"/>
        <v>3.8194444444444309E-2</v>
      </c>
      <c r="G948" s="3" t="s">
        <v>306</v>
      </c>
      <c r="I948" s="3" t="s">
        <v>308</v>
      </c>
    </row>
    <row r="949" spans="1:11" x14ac:dyDescent="0.25">
      <c r="E949" s="21">
        <f t="shared" si="14"/>
        <v>0</v>
      </c>
    </row>
    <row r="950" spans="1:11" x14ac:dyDescent="0.25">
      <c r="A950" s="20">
        <v>41826</v>
      </c>
      <c r="B950" s="1">
        <v>0.70833333333333337</v>
      </c>
      <c r="C950" s="1">
        <v>0.72916666666666663</v>
      </c>
      <c r="E950" s="21">
        <f t="shared" si="14"/>
        <v>2.0833333333333259E-2</v>
      </c>
      <c r="F950" s="25">
        <f>SUM(E950:E957)</f>
        <v>0.43124999999999986</v>
      </c>
      <c r="G950" s="3" t="s">
        <v>241</v>
      </c>
      <c r="I950" s="3" t="s">
        <v>208</v>
      </c>
      <c r="K950" s="2" t="s">
        <v>312</v>
      </c>
    </row>
    <row r="951" spans="1:11" x14ac:dyDescent="0.25">
      <c r="E951" s="21">
        <f t="shared" si="14"/>
        <v>0</v>
      </c>
    </row>
    <row r="952" spans="1:11" x14ac:dyDescent="0.25">
      <c r="A952" s="20">
        <v>41829</v>
      </c>
      <c r="B952" s="1">
        <v>0.65555555555555556</v>
      </c>
      <c r="C952" s="1">
        <v>0.73263888888888884</v>
      </c>
      <c r="D952" s="4">
        <v>7.6388888888888886E-3</v>
      </c>
      <c r="E952" s="21">
        <f t="shared" si="14"/>
        <v>7.7083333333333282E-2</v>
      </c>
      <c r="G952" s="3" t="s">
        <v>306</v>
      </c>
      <c r="I952" s="3" t="s">
        <v>308</v>
      </c>
    </row>
    <row r="953" spans="1:11" x14ac:dyDescent="0.25">
      <c r="A953" s="20">
        <v>41829</v>
      </c>
      <c r="B953" s="1">
        <v>0.74375000000000002</v>
      </c>
      <c r="C953" s="1">
        <v>0.78194444444444444</v>
      </c>
      <c r="D953" s="4">
        <v>2.0833333333333333E-3</v>
      </c>
      <c r="E953" s="21">
        <f t="shared" si="14"/>
        <v>3.819444444444442E-2</v>
      </c>
      <c r="G953" s="3" t="s">
        <v>306</v>
      </c>
      <c r="I953" s="3" t="s">
        <v>308</v>
      </c>
    </row>
    <row r="954" spans="1:11" x14ac:dyDescent="0.25">
      <c r="A954" s="20">
        <v>41829</v>
      </c>
      <c r="B954" s="1">
        <v>0.78819444444444453</v>
      </c>
      <c r="C954" s="1">
        <v>0.83333333333333337</v>
      </c>
      <c r="E954" s="21">
        <f t="shared" si="14"/>
        <v>4.513888888888884E-2</v>
      </c>
      <c r="G954" s="3" t="s">
        <v>313</v>
      </c>
      <c r="I954" s="3" t="s">
        <v>314</v>
      </c>
      <c r="K954" s="2" t="s">
        <v>315</v>
      </c>
    </row>
    <row r="956" spans="1:11" x14ac:dyDescent="0.25">
      <c r="A956" s="20">
        <v>41830</v>
      </c>
      <c r="B956" s="1">
        <v>0.45833333333333331</v>
      </c>
      <c r="C956" s="1">
        <v>0.70833333333333337</v>
      </c>
      <c r="E956" s="21">
        <f t="shared" si="14"/>
        <v>0.25000000000000006</v>
      </c>
      <c r="G956" s="3" t="s">
        <v>313</v>
      </c>
      <c r="I956" s="3" t="s">
        <v>314</v>
      </c>
    </row>
    <row r="957" spans="1:11" x14ac:dyDescent="0.25">
      <c r="E957" s="21">
        <f t="shared" si="14"/>
        <v>0</v>
      </c>
    </row>
    <row r="958" spans="1:11" x14ac:dyDescent="0.25">
      <c r="A958" s="20">
        <v>41831</v>
      </c>
      <c r="B958" s="1">
        <v>0.25</v>
      </c>
      <c r="C958" s="1">
        <v>0.83333333333333337</v>
      </c>
      <c r="E958" s="21">
        <f t="shared" si="14"/>
        <v>0.58333333333333337</v>
      </c>
      <c r="G958" s="3" t="s">
        <v>313</v>
      </c>
      <c r="I958" s="3" t="s">
        <v>314</v>
      </c>
      <c r="K958" s="2" t="s">
        <v>320</v>
      </c>
    </row>
    <row r="959" spans="1:11" x14ac:dyDescent="0.25">
      <c r="E959" s="21">
        <f t="shared" si="14"/>
        <v>0</v>
      </c>
    </row>
    <row r="960" spans="1:11" x14ac:dyDescent="0.25">
      <c r="A960" s="20">
        <v>41832</v>
      </c>
      <c r="B960" s="1">
        <v>0.25</v>
      </c>
      <c r="C960" s="1">
        <v>0.79166666666666663</v>
      </c>
      <c r="E960" s="21">
        <f t="shared" si="14"/>
        <v>0.54166666666666663</v>
      </c>
      <c r="G960" s="3" t="s">
        <v>313</v>
      </c>
      <c r="I960" s="3" t="s">
        <v>314</v>
      </c>
      <c r="K960" s="2" t="s">
        <v>320</v>
      </c>
    </row>
    <row r="961" spans="1:11" x14ac:dyDescent="0.25">
      <c r="E961" s="21">
        <f t="shared" si="14"/>
        <v>0</v>
      </c>
    </row>
    <row r="962" spans="1:11" x14ac:dyDescent="0.25">
      <c r="E962" s="21">
        <f t="shared" si="14"/>
        <v>0</v>
      </c>
      <c r="I962" s="3" t="s">
        <v>316</v>
      </c>
    </row>
    <row r="963" spans="1:11" x14ac:dyDescent="0.25">
      <c r="E963" s="21">
        <f t="shared" si="14"/>
        <v>0</v>
      </c>
    </row>
    <row r="964" spans="1:11" x14ac:dyDescent="0.25">
      <c r="A964" s="20">
        <v>41843</v>
      </c>
      <c r="B964" s="1">
        <v>0.54166666666666663</v>
      </c>
      <c r="C964" s="1">
        <v>0.66666666666666663</v>
      </c>
      <c r="E964" s="21">
        <f t="shared" si="14"/>
        <v>0.125</v>
      </c>
      <c r="F964" s="25">
        <f>SUM(E964:E978)</f>
        <v>0.52708333333333357</v>
      </c>
      <c r="G964" s="3" t="s">
        <v>241</v>
      </c>
      <c r="I964" s="3" t="s">
        <v>208</v>
      </c>
    </row>
    <row r="965" spans="1:11" x14ac:dyDescent="0.25">
      <c r="E965" s="21">
        <f t="shared" si="14"/>
        <v>0</v>
      </c>
    </row>
    <row r="966" spans="1:11" x14ac:dyDescent="0.25">
      <c r="A966" s="20">
        <v>41844</v>
      </c>
      <c r="B966" s="1">
        <v>0.4375</v>
      </c>
      <c r="C966" s="1">
        <v>0.52083333333333337</v>
      </c>
      <c r="E966" s="21">
        <f t="shared" si="14"/>
        <v>8.333333333333337E-2</v>
      </c>
      <c r="G966" s="3" t="s">
        <v>327</v>
      </c>
      <c r="I966" s="3" t="s">
        <v>328</v>
      </c>
      <c r="K966" s="2" t="s">
        <v>317</v>
      </c>
    </row>
    <row r="967" spans="1:11" x14ac:dyDescent="0.25">
      <c r="A967" s="20">
        <v>41844</v>
      </c>
      <c r="B967" s="1">
        <v>0.58333333333333337</v>
      </c>
      <c r="C967" s="1">
        <v>0.66666666666666663</v>
      </c>
      <c r="E967" s="21">
        <f t="shared" si="14"/>
        <v>8.3333333333333259E-2</v>
      </c>
      <c r="G967" s="3" t="s">
        <v>241</v>
      </c>
      <c r="I967" s="3" t="s">
        <v>318</v>
      </c>
      <c r="K967" s="2" t="s">
        <v>319</v>
      </c>
    </row>
    <row r="968" spans="1:11" x14ac:dyDescent="0.25">
      <c r="A968" s="20">
        <v>41844</v>
      </c>
      <c r="B968" s="1">
        <v>0.875</v>
      </c>
      <c r="C968" s="1">
        <v>0.95833333333333337</v>
      </c>
      <c r="E968" s="21">
        <f t="shared" si="14"/>
        <v>8.333333333333337E-2</v>
      </c>
      <c r="G968" s="3" t="s">
        <v>322</v>
      </c>
      <c r="I968" s="3" t="s">
        <v>323</v>
      </c>
    </row>
    <row r="970" spans="1:11" x14ac:dyDescent="0.25">
      <c r="A970" s="20">
        <v>41845</v>
      </c>
      <c r="B970" s="1">
        <v>0.41319444444444442</v>
      </c>
      <c r="C970" s="1">
        <v>0.42291666666666666</v>
      </c>
      <c r="E970" s="21">
        <f t="shared" si="14"/>
        <v>9.7222222222222432E-3</v>
      </c>
      <c r="G970" s="3" t="s">
        <v>327</v>
      </c>
      <c r="I970" s="3" t="s">
        <v>328</v>
      </c>
      <c r="K970" s="2" t="s">
        <v>324</v>
      </c>
    </row>
    <row r="971" spans="1:11" x14ac:dyDescent="0.25">
      <c r="A971" s="20">
        <v>41845</v>
      </c>
      <c r="B971" s="1">
        <v>0.4597222222222222</v>
      </c>
      <c r="C971" s="1">
        <v>0.46666666666666662</v>
      </c>
      <c r="G971" s="3" t="s">
        <v>334</v>
      </c>
      <c r="H971" s="3" t="s">
        <v>368</v>
      </c>
      <c r="I971" s="3" t="s">
        <v>338</v>
      </c>
      <c r="K971" s="2" t="s">
        <v>341</v>
      </c>
    </row>
    <row r="972" spans="1:11" x14ac:dyDescent="0.25">
      <c r="A972" s="20">
        <v>41845</v>
      </c>
      <c r="B972" s="1">
        <f>C971</f>
        <v>0.46666666666666662</v>
      </c>
      <c r="C972" s="1">
        <v>0.57638888888888895</v>
      </c>
      <c r="D972" s="4">
        <v>4.1666666666666666E-3</v>
      </c>
      <c r="E972" s="21">
        <f t="shared" si="14"/>
        <v>0.10972222222222233</v>
      </c>
      <c r="G972" s="3" t="s">
        <v>241</v>
      </c>
      <c r="H972" s="3" t="s">
        <v>368</v>
      </c>
      <c r="I972" s="3" t="s">
        <v>208</v>
      </c>
      <c r="K972" s="2" t="s">
        <v>342</v>
      </c>
    </row>
    <row r="973" spans="1:11" x14ac:dyDescent="0.25">
      <c r="A973" s="20">
        <v>41845</v>
      </c>
      <c r="B973" s="1">
        <v>0.59722222222222221</v>
      </c>
      <c r="C973" s="1">
        <v>0.70833333333333337</v>
      </c>
      <c r="D973" s="4">
        <v>1.7361111111111112E-2</v>
      </c>
      <c r="G973" s="3" t="s">
        <v>334</v>
      </c>
      <c r="H973" s="3" t="s">
        <v>368</v>
      </c>
      <c r="I973" s="3" t="s">
        <v>338</v>
      </c>
      <c r="K973" s="2" t="s">
        <v>343</v>
      </c>
    </row>
    <row r="974" spans="1:11" x14ac:dyDescent="0.25">
      <c r="A974" s="20">
        <v>41845</v>
      </c>
      <c r="B974" s="1">
        <f>C973</f>
        <v>0.70833333333333337</v>
      </c>
      <c r="C974" s="1">
        <v>0.73055555555555562</v>
      </c>
      <c r="E974" s="21">
        <f t="shared" si="14"/>
        <v>2.2222222222222254E-2</v>
      </c>
      <c r="G974" s="9" t="s">
        <v>333</v>
      </c>
      <c r="H974" s="3" t="s">
        <v>368</v>
      </c>
      <c r="I974" s="3" t="s">
        <v>340</v>
      </c>
    </row>
    <row r="975" spans="1:11" x14ac:dyDescent="0.25">
      <c r="A975" s="20">
        <v>41845</v>
      </c>
      <c r="B975" s="1">
        <v>0.94791666666666663</v>
      </c>
      <c r="C975" s="1">
        <v>0.95833333333333337</v>
      </c>
      <c r="E975" s="21">
        <f t="shared" si="14"/>
        <v>1.0416666666666741E-2</v>
      </c>
      <c r="G975" s="9" t="s">
        <v>339</v>
      </c>
      <c r="H975" s="3" t="s">
        <v>368</v>
      </c>
      <c r="I975" s="7" t="s">
        <v>337</v>
      </c>
    </row>
    <row r="976" spans="1:11" x14ac:dyDescent="0.25">
      <c r="E976" s="21">
        <f t="shared" si="14"/>
        <v>0</v>
      </c>
    </row>
    <row r="977" spans="1:11" x14ac:dyDescent="0.25">
      <c r="A977" s="20">
        <v>41846</v>
      </c>
      <c r="B977" s="1">
        <v>0.50069444444444444</v>
      </c>
      <c r="C977" s="1">
        <v>0.54166666666666663</v>
      </c>
      <c r="G977" s="3" t="s">
        <v>344</v>
      </c>
      <c r="H977" s="3" t="s">
        <v>368</v>
      </c>
      <c r="I977" s="7" t="s">
        <v>345</v>
      </c>
      <c r="K977" s="2" t="s">
        <v>346</v>
      </c>
    </row>
    <row r="978" spans="1:11" x14ac:dyDescent="0.25">
      <c r="A978" s="20">
        <v>41846</v>
      </c>
      <c r="B978" s="1">
        <v>0.57777777777777783</v>
      </c>
      <c r="C978" s="1">
        <v>0.57777777777777783</v>
      </c>
      <c r="E978" s="21">
        <f t="shared" si="14"/>
        <v>0</v>
      </c>
      <c r="G978" s="3" t="s">
        <v>344</v>
      </c>
      <c r="H978" s="3" t="s">
        <v>368</v>
      </c>
      <c r="I978" s="7" t="s">
        <v>345</v>
      </c>
      <c r="K978" s="2" t="s">
        <v>346</v>
      </c>
    </row>
    <row r="979" spans="1:11" x14ac:dyDescent="0.25">
      <c r="E979" s="21">
        <f t="shared" si="14"/>
        <v>0</v>
      </c>
    </row>
    <row r="980" spans="1:11" x14ac:dyDescent="0.25">
      <c r="A980" s="20">
        <v>41847</v>
      </c>
      <c r="B980" s="1">
        <v>0.72499999999999998</v>
      </c>
      <c r="C980" s="1">
        <v>0.73958333333333337</v>
      </c>
      <c r="D980" s="4">
        <v>3.472222222222222E-3</v>
      </c>
      <c r="F980" s="25">
        <f>SUM(E980:E1023)</f>
        <v>1.2722222222222217</v>
      </c>
      <c r="G980" s="3" t="s">
        <v>344</v>
      </c>
      <c r="H980" s="3" t="s">
        <v>368</v>
      </c>
      <c r="I980" s="7" t="s">
        <v>345</v>
      </c>
    </row>
    <row r="981" spans="1:11" x14ac:dyDescent="0.25">
      <c r="A981" s="20">
        <v>41847</v>
      </c>
      <c r="B981" s="1">
        <v>0.87777777777777777</v>
      </c>
      <c r="C981" s="1">
        <v>0.91180555555555554</v>
      </c>
      <c r="E981" s="21">
        <f t="shared" si="14"/>
        <v>3.4027777777777768E-2</v>
      </c>
      <c r="G981" s="9" t="s">
        <v>339</v>
      </c>
      <c r="H981" s="3" t="s">
        <v>368</v>
      </c>
      <c r="I981" s="7" t="s">
        <v>337</v>
      </c>
    </row>
    <row r="982" spans="1:11" x14ac:dyDescent="0.25">
      <c r="E982" s="21">
        <f t="shared" si="14"/>
        <v>0</v>
      </c>
    </row>
    <row r="983" spans="1:11" x14ac:dyDescent="0.25">
      <c r="A983" s="20">
        <v>41848</v>
      </c>
      <c r="B983" s="1">
        <v>0.38125000000000003</v>
      </c>
      <c r="C983" s="1">
        <v>0.40277777777777773</v>
      </c>
      <c r="E983" s="21">
        <f t="shared" si="14"/>
        <v>2.1527777777777701E-2</v>
      </c>
      <c r="G983" s="9" t="s">
        <v>339</v>
      </c>
      <c r="H983" s="3" t="s">
        <v>368</v>
      </c>
      <c r="I983" s="7" t="s">
        <v>337</v>
      </c>
    </row>
    <row r="984" spans="1:11" x14ac:dyDescent="0.25">
      <c r="A984" s="20">
        <v>41848</v>
      </c>
      <c r="B984" s="1">
        <v>0.43055555555555558</v>
      </c>
      <c r="C984" s="1">
        <v>0.45208333333333334</v>
      </c>
      <c r="E984" s="21">
        <f t="shared" si="14"/>
        <v>2.1527777777777757E-2</v>
      </c>
      <c r="G984" s="3" t="s">
        <v>203</v>
      </c>
      <c r="I984" s="3" t="s">
        <v>347</v>
      </c>
    </row>
    <row r="985" spans="1:11" x14ac:dyDescent="0.25">
      <c r="A985" s="20">
        <v>41848</v>
      </c>
      <c r="B985" s="1">
        <v>0.45555555555555555</v>
      </c>
      <c r="C985" s="1">
        <v>0.47152777777777777</v>
      </c>
      <c r="E985" s="21">
        <f t="shared" si="14"/>
        <v>1.5972222222222221E-2</v>
      </c>
      <c r="G985" s="9" t="s">
        <v>339</v>
      </c>
      <c r="H985" s="3" t="s">
        <v>368</v>
      </c>
      <c r="I985" s="7" t="s">
        <v>337</v>
      </c>
    </row>
    <row r="986" spans="1:11" x14ac:dyDescent="0.25">
      <c r="A986" s="20">
        <v>41848</v>
      </c>
      <c r="B986" s="1">
        <v>0.4826388888888889</v>
      </c>
      <c r="C986" s="1">
        <v>0.49305555555555558</v>
      </c>
      <c r="E986" s="21">
        <f t="shared" si="14"/>
        <v>1.0416666666666685E-2</v>
      </c>
      <c r="G986" s="3" t="s">
        <v>259</v>
      </c>
      <c r="I986" s="3" t="s">
        <v>292</v>
      </c>
      <c r="K986" s="2" t="s">
        <v>348</v>
      </c>
    </row>
    <row r="987" spans="1:11" x14ac:dyDescent="0.25">
      <c r="A987" s="20">
        <v>41848</v>
      </c>
      <c r="B987" s="1">
        <f>C986</f>
        <v>0.49305555555555558</v>
      </c>
      <c r="C987" s="1">
        <v>0.50347222222222221</v>
      </c>
      <c r="E987" s="21">
        <f t="shared" si="14"/>
        <v>1.041666666666663E-2</v>
      </c>
      <c r="G987" s="3" t="s">
        <v>334</v>
      </c>
      <c r="H987" s="3" t="s">
        <v>368</v>
      </c>
      <c r="I987" s="3" t="s">
        <v>338</v>
      </c>
      <c r="K987" s="2" t="s">
        <v>349</v>
      </c>
    </row>
    <row r="988" spans="1:11" x14ac:dyDescent="0.25">
      <c r="A988" s="20">
        <v>41848</v>
      </c>
      <c r="B988" s="1">
        <f>C987</f>
        <v>0.50347222222222221</v>
      </c>
      <c r="C988" s="1">
        <v>0.51388888888888895</v>
      </c>
      <c r="E988" s="21">
        <f t="shared" si="14"/>
        <v>1.0416666666666741E-2</v>
      </c>
      <c r="G988" s="9" t="s">
        <v>339</v>
      </c>
      <c r="H988" s="3" t="s">
        <v>368</v>
      </c>
      <c r="I988" s="7" t="s">
        <v>337</v>
      </c>
      <c r="K988" s="2" t="s">
        <v>350</v>
      </c>
    </row>
    <row r="989" spans="1:11" x14ac:dyDescent="0.25">
      <c r="A989" s="20">
        <v>41848</v>
      </c>
      <c r="B989" s="1">
        <f>C988</f>
        <v>0.51388888888888895</v>
      </c>
      <c r="C989" s="1">
        <v>0.55833333333333335</v>
      </c>
      <c r="E989" s="21">
        <f t="shared" si="14"/>
        <v>4.4444444444444398E-2</v>
      </c>
      <c r="G989" s="9" t="s">
        <v>339</v>
      </c>
      <c r="H989" s="3" t="s">
        <v>368</v>
      </c>
      <c r="I989" s="7" t="s">
        <v>337</v>
      </c>
      <c r="K989" s="2" t="s">
        <v>7</v>
      </c>
    </row>
    <row r="990" spans="1:11" x14ac:dyDescent="0.25">
      <c r="A990" s="20">
        <v>41848</v>
      </c>
      <c r="B990" s="1">
        <v>0.57708333333333328</v>
      </c>
      <c r="C990" s="1">
        <v>0.59722222222222221</v>
      </c>
      <c r="E990" s="21">
        <f t="shared" si="14"/>
        <v>2.0138888888888928E-2</v>
      </c>
      <c r="G990" s="9" t="s">
        <v>339</v>
      </c>
      <c r="H990" s="3" t="s">
        <v>368</v>
      </c>
      <c r="I990" s="7" t="s">
        <v>337</v>
      </c>
      <c r="K990" s="2" t="s">
        <v>7</v>
      </c>
    </row>
    <row r="991" spans="1:11" x14ac:dyDescent="0.25">
      <c r="A991" s="20">
        <v>41848</v>
      </c>
      <c r="B991" s="1">
        <v>0.65138888888888891</v>
      </c>
      <c r="C991" s="1">
        <v>0.67291666666666661</v>
      </c>
      <c r="E991" s="21">
        <f t="shared" si="14"/>
        <v>2.1527777777777701E-2</v>
      </c>
      <c r="G991" s="9" t="s">
        <v>339</v>
      </c>
      <c r="H991" s="3" t="s">
        <v>368</v>
      </c>
      <c r="I991" s="7" t="s">
        <v>337</v>
      </c>
      <c r="K991" s="2" t="s">
        <v>7</v>
      </c>
    </row>
    <row r="992" spans="1:11" x14ac:dyDescent="0.25">
      <c r="A992" s="20">
        <v>41848</v>
      </c>
      <c r="B992" s="1">
        <f>C991</f>
        <v>0.67291666666666661</v>
      </c>
      <c r="C992" s="1">
        <v>0.80555555555555547</v>
      </c>
      <c r="D992" s="4">
        <v>1.3194444444444444E-2</v>
      </c>
      <c r="E992" s="21">
        <f t="shared" si="14"/>
        <v>0.12777777777777777</v>
      </c>
      <c r="G992" s="3" t="s">
        <v>331</v>
      </c>
      <c r="H992" s="3" t="s">
        <v>368</v>
      </c>
      <c r="I992" s="7" t="s">
        <v>335</v>
      </c>
    </row>
    <row r="993" spans="1:11" x14ac:dyDescent="0.25">
      <c r="A993" s="20">
        <v>41848</v>
      </c>
      <c r="B993" s="1">
        <v>0.87222222222222223</v>
      </c>
      <c r="C993" s="1">
        <v>0.91875000000000007</v>
      </c>
      <c r="E993" s="21">
        <f t="shared" si="14"/>
        <v>4.6527777777777835E-2</v>
      </c>
      <c r="G993" s="3" t="s">
        <v>331</v>
      </c>
      <c r="H993" s="3" t="s">
        <v>368</v>
      </c>
      <c r="I993" s="7" t="s">
        <v>335</v>
      </c>
    </row>
    <row r="994" spans="1:11" x14ac:dyDescent="0.25">
      <c r="E994" s="21">
        <f t="shared" si="14"/>
        <v>0</v>
      </c>
    </row>
    <row r="995" spans="1:11" x14ac:dyDescent="0.25">
      <c r="A995" s="20">
        <v>41849</v>
      </c>
      <c r="B995" s="1">
        <v>0.45277777777777778</v>
      </c>
      <c r="C995" s="1">
        <v>0.51180555555555551</v>
      </c>
      <c r="D995" s="4">
        <v>3.472222222222222E-3</v>
      </c>
      <c r="E995" s="21">
        <f t="shared" si="14"/>
        <v>5.9027777777777735E-2</v>
      </c>
      <c r="G995" s="3" t="s">
        <v>331</v>
      </c>
      <c r="H995" s="3" t="s">
        <v>368</v>
      </c>
      <c r="I995" s="7" t="s">
        <v>335</v>
      </c>
    </row>
    <row r="996" spans="1:11" x14ac:dyDescent="0.25">
      <c r="A996" s="20">
        <v>41849</v>
      </c>
      <c r="B996" s="1">
        <v>0.53749999999999998</v>
      </c>
      <c r="C996" s="1">
        <v>0.65416666666666667</v>
      </c>
      <c r="D996" s="4">
        <v>1.3888888888888888E-2</v>
      </c>
      <c r="E996" s="21">
        <f t="shared" si="14"/>
        <v>0.11111111111111113</v>
      </c>
      <c r="G996" s="3" t="s">
        <v>331</v>
      </c>
      <c r="H996" s="3" t="s">
        <v>368</v>
      </c>
      <c r="I996" s="7" t="s">
        <v>335</v>
      </c>
    </row>
    <row r="997" spans="1:11" x14ac:dyDescent="0.25">
      <c r="A997" s="20">
        <v>41849</v>
      </c>
      <c r="B997" s="1">
        <f>C996</f>
        <v>0.65416666666666667</v>
      </c>
      <c r="C997" s="1">
        <v>0.67291666666666661</v>
      </c>
      <c r="E997" s="21">
        <f t="shared" si="14"/>
        <v>1.8749999999999933E-2</v>
      </c>
      <c r="G997" s="3" t="s">
        <v>351</v>
      </c>
      <c r="H997" s="3" t="s">
        <v>368</v>
      </c>
      <c r="I997" s="7" t="s">
        <v>354</v>
      </c>
      <c r="K997" s="2" t="s">
        <v>352</v>
      </c>
    </row>
    <row r="998" spans="1:11" x14ac:dyDescent="0.25">
      <c r="A998" s="20">
        <v>41849</v>
      </c>
      <c r="B998" s="1">
        <v>0.89027777777777783</v>
      </c>
      <c r="C998" s="1">
        <v>0.93541666666666667</v>
      </c>
      <c r="D998" s="4">
        <v>4.1666666666666666E-3</v>
      </c>
      <c r="E998" s="21">
        <f t="shared" si="14"/>
        <v>4.513888888888884E-2</v>
      </c>
      <c r="G998" s="3" t="s">
        <v>331</v>
      </c>
      <c r="H998" s="3" t="s">
        <v>368</v>
      </c>
      <c r="I998" s="7" t="s">
        <v>335</v>
      </c>
    </row>
    <row r="999" spans="1:11" x14ac:dyDescent="0.25">
      <c r="E999" s="21">
        <f t="shared" si="14"/>
        <v>0</v>
      </c>
    </row>
    <row r="1000" spans="1:11" x14ac:dyDescent="0.25">
      <c r="A1000" s="20">
        <v>41850</v>
      </c>
      <c r="B1000" s="1">
        <v>0.45694444444444443</v>
      </c>
      <c r="C1000" s="1">
        <v>0.46527777777777773</v>
      </c>
      <c r="E1000" s="21">
        <f t="shared" si="14"/>
        <v>8.3333333333333037E-3</v>
      </c>
      <c r="G1000" s="3" t="s">
        <v>334</v>
      </c>
      <c r="H1000" s="3" t="s">
        <v>368</v>
      </c>
      <c r="I1000" s="3" t="s">
        <v>338</v>
      </c>
      <c r="K1000" s="2" t="s">
        <v>353</v>
      </c>
    </row>
    <row r="1001" spans="1:11" x14ac:dyDescent="0.25">
      <c r="A1001" s="20">
        <v>41850</v>
      </c>
      <c r="B1001" s="1">
        <v>0.47847222222222219</v>
      </c>
      <c r="C1001" s="1">
        <v>0.52986111111111112</v>
      </c>
      <c r="E1001" s="21">
        <f t="shared" si="14"/>
        <v>5.1388888888888928E-2</v>
      </c>
      <c r="G1001" s="3" t="s">
        <v>331</v>
      </c>
      <c r="H1001" s="3" t="s">
        <v>368</v>
      </c>
      <c r="I1001" s="7" t="s">
        <v>335</v>
      </c>
    </row>
    <row r="1002" spans="1:11" x14ac:dyDescent="0.25">
      <c r="A1002" s="20">
        <v>41850</v>
      </c>
      <c r="B1002" s="1">
        <v>0.58888888888888891</v>
      </c>
      <c r="C1002" s="1">
        <v>0.59722222222222221</v>
      </c>
      <c r="E1002" s="21">
        <f t="shared" si="14"/>
        <v>8.3333333333333037E-3</v>
      </c>
      <c r="G1002" s="3" t="s">
        <v>351</v>
      </c>
      <c r="H1002" s="3" t="s">
        <v>368</v>
      </c>
      <c r="I1002" s="7" t="s">
        <v>354</v>
      </c>
    </row>
    <row r="1003" spans="1:11" x14ac:dyDescent="0.25">
      <c r="A1003" s="20">
        <v>41850</v>
      </c>
      <c r="B1003" s="1">
        <f>C1002</f>
        <v>0.59722222222222221</v>
      </c>
      <c r="C1003" s="1">
        <v>0.66319444444444442</v>
      </c>
      <c r="E1003" s="21">
        <f t="shared" si="14"/>
        <v>6.597222222222221E-2</v>
      </c>
      <c r="G1003" s="3" t="s">
        <v>331</v>
      </c>
      <c r="H1003" s="3" t="s">
        <v>368</v>
      </c>
      <c r="I1003" s="7" t="s">
        <v>335</v>
      </c>
      <c r="K1003" s="2" t="s">
        <v>356</v>
      </c>
    </row>
    <row r="1004" spans="1:11" x14ac:dyDescent="0.25">
      <c r="A1004" s="20">
        <v>41850</v>
      </c>
      <c r="B1004" s="1">
        <v>0.6972222222222223</v>
      </c>
      <c r="C1004" s="1">
        <v>0.71250000000000002</v>
      </c>
      <c r="E1004" s="21">
        <f t="shared" si="14"/>
        <v>1.5277777777777724E-2</v>
      </c>
      <c r="G1004" s="3" t="s">
        <v>331</v>
      </c>
      <c r="H1004" s="3" t="s">
        <v>368</v>
      </c>
      <c r="I1004" s="7" t="s">
        <v>335</v>
      </c>
      <c r="K1004" s="2" t="s">
        <v>356</v>
      </c>
    </row>
    <row r="1005" spans="1:11" x14ac:dyDescent="0.25">
      <c r="A1005" s="20">
        <v>41850</v>
      </c>
      <c r="B1005" s="1">
        <f>C1004</f>
        <v>0.71250000000000002</v>
      </c>
      <c r="C1005" s="1">
        <v>0.76597222222222217</v>
      </c>
      <c r="E1005" s="21">
        <f t="shared" si="14"/>
        <v>5.3472222222222143E-2</v>
      </c>
      <c r="G1005" s="3" t="s">
        <v>331</v>
      </c>
      <c r="H1005" s="3" t="s">
        <v>368</v>
      </c>
      <c r="I1005" s="7" t="s">
        <v>335</v>
      </c>
      <c r="K1005" s="2" t="s">
        <v>357</v>
      </c>
    </row>
    <row r="1006" spans="1:11" x14ac:dyDescent="0.25">
      <c r="A1006" s="20">
        <v>41850</v>
      </c>
      <c r="B1006" s="1">
        <v>0.8833333333333333</v>
      </c>
      <c r="C1006" s="1">
        <v>0.91527777777777775</v>
      </c>
      <c r="E1006" s="21">
        <f t="shared" si="14"/>
        <v>3.1944444444444442E-2</v>
      </c>
      <c r="G1006" s="3" t="s">
        <v>331</v>
      </c>
      <c r="H1006" s="3" t="s">
        <v>368</v>
      </c>
      <c r="I1006" s="7" t="s">
        <v>335</v>
      </c>
    </row>
    <row r="1007" spans="1:11" x14ac:dyDescent="0.25">
      <c r="E1007" s="21">
        <f t="shared" si="14"/>
        <v>0</v>
      </c>
    </row>
    <row r="1008" spans="1:11" x14ac:dyDescent="0.25">
      <c r="A1008" s="20">
        <v>41851</v>
      </c>
      <c r="B1008" s="1">
        <v>0.41805555555555557</v>
      </c>
      <c r="C1008" s="1">
        <v>0.45</v>
      </c>
      <c r="E1008" s="21">
        <f t="shared" si="14"/>
        <v>3.1944444444444442E-2</v>
      </c>
      <c r="G1008" s="3" t="s">
        <v>332</v>
      </c>
      <c r="H1008" s="3" t="s">
        <v>368</v>
      </c>
      <c r="I1008" s="7" t="s">
        <v>336</v>
      </c>
    </row>
    <row r="1009" spans="1:11" x14ac:dyDescent="0.25">
      <c r="A1009" s="20">
        <v>41851</v>
      </c>
      <c r="B1009" s="1">
        <f>C1008</f>
        <v>0.45</v>
      </c>
      <c r="C1009" s="1">
        <v>0.48819444444444443</v>
      </c>
      <c r="E1009" s="21">
        <f t="shared" si="14"/>
        <v>3.819444444444442E-2</v>
      </c>
      <c r="G1009" s="3" t="s">
        <v>351</v>
      </c>
      <c r="H1009" s="3" t="s">
        <v>368</v>
      </c>
      <c r="I1009" s="7" t="s">
        <v>354</v>
      </c>
      <c r="K1009" s="2" t="s">
        <v>358</v>
      </c>
    </row>
    <row r="1010" spans="1:11" x14ac:dyDescent="0.25">
      <c r="A1010" s="20">
        <v>41851</v>
      </c>
      <c r="B1010" s="1">
        <f>C1009</f>
        <v>0.48819444444444443</v>
      </c>
      <c r="C1010" s="1">
        <v>0.49236111111111108</v>
      </c>
      <c r="E1010" s="21">
        <f t="shared" si="14"/>
        <v>4.1666666666666519E-3</v>
      </c>
      <c r="G1010" s="3" t="s">
        <v>334</v>
      </c>
      <c r="H1010" s="3" t="s">
        <v>368</v>
      </c>
      <c r="I1010" s="3" t="s">
        <v>338</v>
      </c>
      <c r="K1010" s="2" t="s">
        <v>359</v>
      </c>
    </row>
    <row r="1011" spans="1:11" x14ac:dyDescent="0.25">
      <c r="A1011" s="20">
        <v>41851</v>
      </c>
      <c r="B1011" s="1">
        <v>0.55902777777777779</v>
      </c>
      <c r="C1011" s="1">
        <v>0.59097222222222223</v>
      </c>
      <c r="E1011" s="21">
        <f t="shared" si="14"/>
        <v>3.1944444444444442E-2</v>
      </c>
      <c r="G1011" s="3" t="s">
        <v>332</v>
      </c>
      <c r="H1011" s="3" t="s">
        <v>368</v>
      </c>
      <c r="I1011" s="7" t="s">
        <v>336</v>
      </c>
      <c r="K1011" s="2" t="s">
        <v>360</v>
      </c>
    </row>
    <row r="1012" spans="1:11" x14ac:dyDescent="0.25">
      <c r="A1012" s="20">
        <v>41851</v>
      </c>
      <c r="B1012" s="1">
        <f>C1011</f>
        <v>0.59097222222222223</v>
      </c>
      <c r="C1012" s="1">
        <v>0.60972222222222217</v>
      </c>
      <c r="E1012" s="21">
        <f t="shared" si="14"/>
        <v>1.8749999999999933E-2</v>
      </c>
      <c r="G1012" s="3" t="s">
        <v>331</v>
      </c>
      <c r="H1012" s="3" t="s">
        <v>368</v>
      </c>
      <c r="I1012" s="7" t="s">
        <v>335</v>
      </c>
      <c r="K1012" s="2" t="s">
        <v>361</v>
      </c>
    </row>
    <row r="1013" spans="1:11" x14ac:dyDescent="0.25">
      <c r="A1013" s="20">
        <v>41851</v>
      </c>
      <c r="B1013" s="1">
        <v>0.62847222222222221</v>
      </c>
      <c r="C1013" s="1">
        <v>0.64930555555555558</v>
      </c>
      <c r="E1013" s="21">
        <f t="shared" si="14"/>
        <v>2.083333333333337E-2</v>
      </c>
      <c r="G1013" s="3" t="s">
        <v>334</v>
      </c>
      <c r="H1013" s="3" t="s">
        <v>368</v>
      </c>
      <c r="I1013" s="3" t="s">
        <v>338</v>
      </c>
      <c r="K1013" s="2" t="s">
        <v>362</v>
      </c>
    </row>
    <row r="1014" spans="1:11" x14ac:dyDescent="0.25">
      <c r="E1014" s="21">
        <f t="shared" si="14"/>
        <v>0</v>
      </c>
    </row>
    <row r="1015" spans="1:11" x14ac:dyDescent="0.25">
      <c r="A1015" s="20">
        <v>41852</v>
      </c>
      <c r="B1015" s="1">
        <v>0.4513888888888889</v>
      </c>
      <c r="C1015" s="1">
        <v>0.47847222222222219</v>
      </c>
      <c r="D1015" s="4">
        <v>2.0833333333333333E-3</v>
      </c>
      <c r="E1015" s="21">
        <f t="shared" si="14"/>
        <v>2.7083333333333293E-2</v>
      </c>
      <c r="G1015" s="3" t="s">
        <v>331</v>
      </c>
      <c r="H1015" s="3" t="s">
        <v>368</v>
      </c>
      <c r="I1015" s="7" t="s">
        <v>335</v>
      </c>
      <c r="K1015" s="2" t="s">
        <v>361</v>
      </c>
    </row>
    <row r="1016" spans="1:11" x14ac:dyDescent="0.25">
      <c r="A1016" s="20">
        <v>41852</v>
      </c>
      <c r="B1016" s="1">
        <v>0.50069444444444444</v>
      </c>
      <c r="C1016" s="1">
        <v>0.53263888888888888</v>
      </c>
      <c r="E1016" s="21">
        <f t="shared" si="14"/>
        <v>3.1944444444444442E-2</v>
      </c>
      <c r="G1016" s="3" t="s">
        <v>331</v>
      </c>
      <c r="H1016" s="3" t="s">
        <v>368</v>
      </c>
      <c r="I1016" s="7" t="s">
        <v>335</v>
      </c>
      <c r="K1016" s="2" t="s">
        <v>361</v>
      </c>
    </row>
    <row r="1017" spans="1:11" x14ac:dyDescent="0.25">
      <c r="A1017" s="20">
        <v>41852</v>
      </c>
      <c r="B1017" s="1">
        <v>0.60486111111111118</v>
      </c>
      <c r="C1017" s="1">
        <v>0.64236111111111105</v>
      </c>
      <c r="E1017" s="21">
        <f t="shared" si="14"/>
        <v>3.7499999999999867E-2</v>
      </c>
      <c r="G1017" s="3" t="s">
        <v>331</v>
      </c>
      <c r="H1017" s="3" t="s">
        <v>368</v>
      </c>
      <c r="I1017" s="7" t="s">
        <v>335</v>
      </c>
    </row>
    <row r="1018" spans="1:11" x14ac:dyDescent="0.25">
      <c r="E1018" s="21">
        <f t="shared" si="14"/>
        <v>0</v>
      </c>
    </row>
    <row r="1019" spans="1:11" x14ac:dyDescent="0.25">
      <c r="A1019" s="20">
        <v>41853</v>
      </c>
      <c r="B1019" s="1">
        <v>0.4993055555555555</v>
      </c>
      <c r="C1019" s="1">
        <v>0.53125</v>
      </c>
      <c r="D1019" s="4">
        <v>5.5555555555555558E-3</v>
      </c>
      <c r="E1019" s="21">
        <f t="shared" si="14"/>
        <v>3.1944444444444497E-2</v>
      </c>
      <c r="G1019" s="9" t="s">
        <v>241</v>
      </c>
      <c r="H1019" s="3" t="s">
        <v>368</v>
      </c>
      <c r="I1019" s="7" t="s">
        <v>233</v>
      </c>
      <c r="K1019" s="2" t="s">
        <v>364</v>
      </c>
    </row>
    <row r="1020" spans="1:11" x14ac:dyDescent="0.25">
      <c r="A1020" s="20">
        <v>41853</v>
      </c>
      <c r="B1020" s="1">
        <v>0.54861111111111105</v>
      </c>
      <c r="C1020" s="1">
        <v>0.5625</v>
      </c>
      <c r="E1020" s="21">
        <f t="shared" si="14"/>
        <v>1.3888888888888951E-2</v>
      </c>
      <c r="G1020" s="3" t="s">
        <v>322</v>
      </c>
      <c r="I1020" s="7" t="s">
        <v>363</v>
      </c>
      <c r="K1020" s="2" t="s">
        <v>365</v>
      </c>
    </row>
    <row r="1021" spans="1:11" x14ac:dyDescent="0.25">
      <c r="A1021" s="20">
        <v>41853</v>
      </c>
      <c r="B1021" s="1">
        <f>C1020</f>
        <v>0.5625</v>
      </c>
      <c r="C1021" s="1">
        <v>0.64583333333333337</v>
      </c>
      <c r="D1021" s="4">
        <v>1.3194444444444444E-2</v>
      </c>
      <c r="E1021" s="21">
        <f t="shared" si="14"/>
        <v>7.8472222222222263E-2</v>
      </c>
      <c r="G1021" s="9" t="s">
        <v>241</v>
      </c>
      <c r="H1021" s="3" t="s">
        <v>368</v>
      </c>
      <c r="I1021" s="7" t="s">
        <v>233</v>
      </c>
      <c r="K1021" s="2" t="s">
        <v>364</v>
      </c>
    </row>
    <row r="1022" spans="1:11" x14ac:dyDescent="0.25">
      <c r="A1022" s="20">
        <v>41853</v>
      </c>
      <c r="B1022" s="1">
        <v>0.73472222222222217</v>
      </c>
      <c r="C1022" s="1">
        <v>0.76250000000000007</v>
      </c>
      <c r="E1022" s="21">
        <f t="shared" si="14"/>
        <v>2.7777777777777901E-2</v>
      </c>
      <c r="G1022" s="9" t="s">
        <v>241</v>
      </c>
      <c r="H1022" s="3" t="s">
        <v>368</v>
      </c>
      <c r="I1022" s="7" t="s">
        <v>233</v>
      </c>
      <c r="K1022" s="2" t="s">
        <v>364</v>
      </c>
    </row>
    <row r="1023" spans="1:11" x14ac:dyDescent="0.25">
      <c r="A1023" s="20">
        <v>41853</v>
      </c>
      <c r="B1023" s="1">
        <v>0.9375</v>
      </c>
      <c r="C1023" s="1">
        <v>0.96180555555555547</v>
      </c>
      <c r="E1023" s="21">
        <f t="shared" si="14"/>
        <v>2.4305555555555469E-2</v>
      </c>
      <c r="G1023" s="9" t="s">
        <v>241</v>
      </c>
      <c r="H1023" s="3" t="s">
        <v>368</v>
      </c>
      <c r="I1023" s="7" t="s">
        <v>233</v>
      </c>
      <c r="K1023" s="2" t="s">
        <v>364</v>
      </c>
    </row>
    <row r="1024" spans="1:11" x14ac:dyDescent="0.25">
      <c r="E1024" s="21">
        <f t="shared" si="14"/>
        <v>0</v>
      </c>
    </row>
    <row r="1025" spans="1:13" x14ac:dyDescent="0.25">
      <c r="A1025" s="20">
        <v>41854</v>
      </c>
      <c r="B1025" s="1">
        <v>0.86458333333333337</v>
      </c>
      <c r="C1025" s="1">
        <v>0.88194444444444453</v>
      </c>
      <c r="E1025" s="21">
        <f t="shared" si="14"/>
        <v>1.736111111111116E-2</v>
      </c>
      <c r="F1025" s="25">
        <f>SUM(E1025:E1035)</f>
        <v>0.3895833333333335</v>
      </c>
      <c r="G1025" s="9" t="s">
        <v>322</v>
      </c>
      <c r="H1025" s="9"/>
      <c r="I1025" s="7" t="s">
        <v>363</v>
      </c>
      <c r="K1025" s="8" t="s">
        <v>372</v>
      </c>
    </row>
    <row r="1026" spans="1:13" x14ac:dyDescent="0.25">
      <c r="E1026" s="21">
        <f t="shared" ref="E1026:E1090" si="15">IF(D1026&lt;(12/1440),C1026-B1026,C1026-B1026-D1026+(12/1440))</f>
        <v>0</v>
      </c>
    </row>
    <row r="1027" spans="1:13" x14ac:dyDescent="0.25">
      <c r="A1027" s="20">
        <v>41855</v>
      </c>
      <c r="B1027" s="1">
        <v>0.81805555555555554</v>
      </c>
      <c r="C1027" s="1">
        <v>0.99861111111111101</v>
      </c>
      <c r="D1027" s="4">
        <v>1.9444444444444445E-2</v>
      </c>
      <c r="E1027" s="21">
        <f t="shared" si="15"/>
        <v>0.16944444444444437</v>
      </c>
      <c r="G1027" s="9" t="s">
        <v>322</v>
      </c>
      <c r="H1027" s="9"/>
      <c r="I1027" s="7" t="s">
        <v>363</v>
      </c>
    </row>
    <row r="1028" spans="1:13" x14ac:dyDescent="0.25">
      <c r="E1028" s="21">
        <f t="shared" si="15"/>
        <v>0</v>
      </c>
    </row>
    <row r="1029" spans="1:13" x14ac:dyDescent="0.25">
      <c r="A1029" s="20">
        <v>41858</v>
      </c>
      <c r="B1029" s="1">
        <v>0.40277777777777773</v>
      </c>
      <c r="C1029" s="1">
        <v>0.44444444444444442</v>
      </c>
      <c r="E1029" s="21">
        <f t="shared" si="15"/>
        <v>4.1666666666666685E-2</v>
      </c>
      <c r="G1029" s="9" t="s">
        <v>241</v>
      </c>
      <c r="H1029" s="9"/>
      <c r="I1029" s="7" t="s">
        <v>233</v>
      </c>
      <c r="K1029" s="2" t="s">
        <v>373</v>
      </c>
    </row>
    <row r="1030" spans="1:13" x14ac:dyDescent="0.25">
      <c r="A1030" s="20">
        <v>41858</v>
      </c>
      <c r="B1030" s="1">
        <f>C1029</f>
        <v>0.44444444444444442</v>
      </c>
      <c r="C1030" s="1">
        <v>0.4861111111111111</v>
      </c>
      <c r="E1030" s="21">
        <f t="shared" si="15"/>
        <v>4.1666666666666685E-2</v>
      </c>
      <c r="G1030" s="3" t="s">
        <v>334</v>
      </c>
      <c r="H1030" s="3" t="s">
        <v>368</v>
      </c>
      <c r="I1030" s="3" t="s">
        <v>338</v>
      </c>
      <c r="K1030" s="2" t="s">
        <v>374</v>
      </c>
    </row>
    <row r="1031" spans="1:13" x14ac:dyDescent="0.25">
      <c r="E1031" s="21">
        <f t="shared" si="15"/>
        <v>0</v>
      </c>
    </row>
    <row r="1032" spans="1:13" x14ac:dyDescent="0.25">
      <c r="A1032" s="20">
        <v>41859</v>
      </c>
      <c r="B1032" s="1">
        <v>0.51527777777777783</v>
      </c>
      <c r="C1032" s="1">
        <v>0.57777777777777783</v>
      </c>
      <c r="D1032" s="4">
        <v>1.0416666666666666E-2</v>
      </c>
      <c r="E1032" s="21">
        <f t="shared" si="15"/>
        <v>6.0416666666666667E-2</v>
      </c>
      <c r="G1032" s="9" t="s">
        <v>421</v>
      </c>
      <c r="H1032" s="3" t="s">
        <v>368</v>
      </c>
      <c r="I1032" s="7" t="s">
        <v>422</v>
      </c>
    </row>
    <row r="1033" spans="1:13" x14ac:dyDescent="0.25">
      <c r="A1033" s="20">
        <v>41859</v>
      </c>
      <c r="B1033" s="1">
        <v>0.58680555555555558</v>
      </c>
      <c r="C1033" s="1">
        <v>0.60763888888888895</v>
      </c>
      <c r="E1033" s="21">
        <f t="shared" si="15"/>
        <v>2.083333333333337E-2</v>
      </c>
      <c r="G1033" s="9" t="s">
        <v>421</v>
      </c>
      <c r="H1033" s="3" t="s">
        <v>368</v>
      </c>
      <c r="I1033" s="7" t="s">
        <v>422</v>
      </c>
    </row>
    <row r="1034" spans="1:13" x14ac:dyDescent="0.25">
      <c r="A1034" s="20">
        <v>41859</v>
      </c>
      <c r="B1034" s="1">
        <v>0.79166666666666663</v>
      </c>
      <c r="C1034" s="1">
        <v>0.8125</v>
      </c>
      <c r="E1034" s="21">
        <f t="shared" si="15"/>
        <v>2.083333333333337E-2</v>
      </c>
      <c r="G1034" s="9" t="s">
        <v>421</v>
      </c>
      <c r="H1034" s="3" t="s">
        <v>368</v>
      </c>
      <c r="I1034" s="7" t="s">
        <v>422</v>
      </c>
    </row>
    <row r="1035" spans="1:13" x14ac:dyDescent="0.25">
      <c r="A1035" s="20">
        <v>41859</v>
      </c>
      <c r="B1035" s="1">
        <v>0.88263888888888886</v>
      </c>
      <c r="C1035" s="1">
        <v>0.9</v>
      </c>
      <c r="E1035" s="21">
        <f t="shared" si="15"/>
        <v>1.736111111111116E-2</v>
      </c>
      <c r="G1035" s="3" t="s">
        <v>306</v>
      </c>
      <c r="I1035" s="3" t="s">
        <v>308</v>
      </c>
    </row>
    <row r="1036" spans="1:13" x14ac:dyDescent="0.25">
      <c r="E1036" s="21">
        <f t="shared" si="15"/>
        <v>0</v>
      </c>
      <c r="F1036" s="26"/>
    </row>
    <row r="1037" spans="1:13" x14ac:dyDescent="0.25">
      <c r="A1037" s="20">
        <v>41863</v>
      </c>
      <c r="B1037" s="1">
        <v>0.61111111111111105</v>
      </c>
      <c r="C1037" s="1">
        <v>0.63194444444444442</v>
      </c>
      <c r="E1037" s="21">
        <f t="shared" si="15"/>
        <v>2.083333333333337E-2</v>
      </c>
      <c r="F1037" s="25">
        <f>SUM(E1037:E1053)</f>
        <v>0.53125</v>
      </c>
      <c r="G1037" s="3" t="s">
        <v>378</v>
      </c>
      <c r="I1037" s="7" t="s">
        <v>379</v>
      </c>
      <c r="M1037" s="7" t="s">
        <v>367</v>
      </c>
    </row>
    <row r="1038" spans="1:13" x14ac:dyDescent="0.25">
      <c r="E1038" s="21">
        <f t="shared" si="15"/>
        <v>0</v>
      </c>
    </row>
    <row r="1039" spans="1:13" x14ac:dyDescent="0.25">
      <c r="A1039" s="20">
        <v>41864</v>
      </c>
      <c r="B1039" s="1">
        <v>0.46597222222222223</v>
      </c>
      <c r="C1039" s="1">
        <v>0.5541666666666667</v>
      </c>
      <c r="E1039" s="21">
        <f t="shared" si="15"/>
        <v>8.8194444444444464E-2</v>
      </c>
      <c r="G1039" s="3" t="s">
        <v>380</v>
      </c>
      <c r="I1039" s="7" t="s">
        <v>381</v>
      </c>
      <c r="M1039" s="7" t="s">
        <v>367</v>
      </c>
    </row>
    <row r="1040" spans="1:13" x14ac:dyDescent="0.25">
      <c r="A1040" s="20">
        <v>41864</v>
      </c>
      <c r="B1040" s="1">
        <f>C1039</f>
        <v>0.5541666666666667</v>
      </c>
      <c r="C1040" s="1">
        <v>0.58750000000000002</v>
      </c>
      <c r="E1040" s="21">
        <f t="shared" si="15"/>
        <v>3.3333333333333326E-2</v>
      </c>
      <c r="G1040" s="3" t="s">
        <v>339</v>
      </c>
      <c r="H1040" s="3" t="s">
        <v>368</v>
      </c>
      <c r="I1040" s="7" t="s">
        <v>337</v>
      </c>
      <c r="K1040" s="2" t="s">
        <v>375</v>
      </c>
    </row>
    <row r="1041" spans="1:13" x14ac:dyDescent="0.25">
      <c r="A1041" s="20">
        <v>41864</v>
      </c>
      <c r="B1041" s="1">
        <f>C1040</f>
        <v>0.58750000000000002</v>
      </c>
      <c r="C1041" s="1">
        <v>0.61736111111111114</v>
      </c>
      <c r="E1041" s="21">
        <f t="shared" si="15"/>
        <v>2.9861111111111116E-2</v>
      </c>
      <c r="G1041" s="3" t="s">
        <v>380</v>
      </c>
      <c r="I1041" s="7" t="s">
        <v>381</v>
      </c>
      <c r="M1041" s="7" t="s">
        <v>367</v>
      </c>
    </row>
    <row r="1042" spans="1:13" x14ac:dyDescent="0.25">
      <c r="A1042" s="20">
        <v>41864</v>
      </c>
      <c r="B1042" s="1">
        <f>C1041</f>
        <v>0.61736111111111114</v>
      </c>
      <c r="C1042" s="1">
        <v>0.65277777777777779</v>
      </c>
      <c r="E1042" s="21">
        <f t="shared" si="15"/>
        <v>3.5416666666666652E-2</v>
      </c>
      <c r="G1042" s="3" t="s">
        <v>339</v>
      </c>
      <c r="H1042" s="3" t="s">
        <v>368</v>
      </c>
      <c r="I1042" s="7" t="s">
        <v>337</v>
      </c>
      <c r="K1042" s="2" t="s">
        <v>375</v>
      </c>
    </row>
    <row r="1043" spans="1:13" x14ac:dyDescent="0.25">
      <c r="A1043" s="20">
        <v>41864</v>
      </c>
      <c r="B1043" s="1">
        <v>0.88541666666666663</v>
      </c>
      <c r="C1043" s="1">
        <v>0.93333333333333324</v>
      </c>
      <c r="E1043" s="21">
        <f t="shared" si="15"/>
        <v>4.7916666666666607E-2</v>
      </c>
      <c r="G1043" s="3" t="s">
        <v>331</v>
      </c>
      <c r="H1043" s="3" t="s">
        <v>368</v>
      </c>
      <c r="I1043" s="7" t="s">
        <v>337</v>
      </c>
      <c r="K1043" s="2" t="s">
        <v>375</v>
      </c>
    </row>
    <row r="1044" spans="1:13" x14ac:dyDescent="0.25">
      <c r="E1044" s="21">
        <f t="shared" si="15"/>
        <v>0</v>
      </c>
    </row>
    <row r="1045" spans="1:13" x14ac:dyDescent="0.25">
      <c r="A1045" s="20">
        <v>41865</v>
      </c>
      <c r="B1045" s="1">
        <v>0.43055555555555558</v>
      </c>
      <c r="C1045" s="1">
        <v>0.4513888888888889</v>
      </c>
      <c r="E1045" s="21">
        <f t="shared" si="15"/>
        <v>2.0833333333333315E-2</v>
      </c>
      <c r="G1045" s="3" t="s">
        <v>331</v>
      </c>
      <c r="H1045" s="3" t="s">
        <v>368</v>
      </c>
      <c r="I1045" s="7" t="s">
        <v>337</v>
      </c>
      <c r="K1045" s="2" t="s">
        <v>375</v>
      </c>
    </row>
    <row r="1046" spans="1:13" x14ac:dyDescent="0.25">
      <c r="A1046" s="20">
        <v>41865</v>
      </c>
      <c r="B1046" s="1">
        <v>0.52777777777777779</v>
      </c>
      <c r="C1046" s="1">
        <v>0.54861111111111105</v>
      </c>
      <c r="E1046" s="21">
        <f t="shared" si="15"/>
        <v>2.0833333333333259E-2</v>
      </c>
      <c r="G1046" s="3" t="s">
        <v>334</v>
      </c>
      <c r="H1046" s="3" t="s">
        <v>368</v>
      </c>
      <c r="I1046" s="7" t="s">
        <v>338</v>
      </c>
      <c r="K1046" s="2" t="s">
        <v>382</v>
      </c>
    </row>
    <row r="1047" spans="1:13" x14ac:dyDescent="0.25">
      <c r="A1047" s="20">
        <v>41865</v>
      </c>
      <c r="B1047" s="1">
        <v>0.58124999999999993</v>
      </c>
      <c r="C1047" s="1">
        <v>0.59166666666666667</v>
      </c>
      <c r="E1047" s="21">
        <f t="shared" si="15"/>
        <v>1.0416666666666741E-2</v>
      </c>
      <c r="G1047" s="3" t="s">
        <v>199</v>
      </c>
      <c r="I1047" s="7" t="s">
        <v>202</v>
      </c>
      <c r="K1047" s="2" t="s">
        <v>383</v>
      </c>
    </row>
    <row r="1048" spans="1:13" x14ac:dyDescent="0.25">
      <c r="A1048" s="20">
        <v>41865</v>
      </c>
      <c r="B1048" s="1">
        <v>0.82638888888888884</v>
      </c>
      <c r="C1048" s="1">
        <v>0.83472222222222225</v>
      </c>
      <c r="E1048" s="21">
        <f t="shared" si="15"/>
        <v>8.3333333333334147E-3</v>
      </c>
      <c r="G1048" s="3" t="s">
        <v>380</v>
      </c>
      <c r="I1048" s="7" t="s">
        <v>381</v>
      </c>
      <c r="M1048" s="7" t="s">
        <v>367</v>
      </c>
    </row>
    <row r="1049" spans="1:13" x14ac:dyDescent="0.25">
      <c r="A1049" s="20">
        <v>41865</v>
      </c>
      <c r="B1049" s="1">
        <v>0.90555555555555556</v>
      </c>
      <c r="C1049" s="1">
        <v>0.93402777777777779</v>
      </c>
      <c r="E1049" s="21">
        <f t="shared" si="15"/>
        <v>2.8472222222222232E-2</v>
      </c>
      <c r="G1049" s="3" t="s">
        <v>380</v>
      </c>
      <c r="I1049" s="7" t="s">
        <v>381</v>
      </c>
      <c r="M1049" s="7" t="s">
        <v>367</v>
      </c>
    </row>
    <row r="1050" spans="1:13" x14ac:dyDescent="0.25">
      <c r="E1050" s="21">
        <f t="shared" si="15"/>
        <v>0</v>
      </c>
    </row>
    <row r="1051" spans="1:13" x14ac:dyDescent="0.25">
      <c r="A1051" s="20">
        <v>41866</v>
      </c>
      <c r="B1051" s="1">
        <v>0.45833333333333331</v>
      </c>
      <c r="C1051" s="1">
        <v>0.47916666666666669</v>
      </c>
      <c r="E1051" s="21">
        <f t="shared" si="15"/>
        <v>2.083333333333337E-2</v>
      </c>
      <c r="G1051" s="3" t="s">
        <v>380</v>
      </c>
      <c r="I1051" s="7" t="s">
        <v>381</v>
      </c>
      <c r="M1051" s="7" t="s">
        <v>367</v>
      </c>
    </row>
    <row r="1052" spans="1:13" x14ac:dyDescent="0.25">
      <c r="E1052" s="21">
        <f t="shared" si="15"/>
        <v>0</v>
      </c>
    </row>
    <row r="1053" spans="1:13" x14ac:dyDescent="0.25">
      <c r="A1053" s="20">
        <v>41867</v>
      </c>
      <c r="B1053" s="1">
        <v>0.83333333333333337</v>
      </c>
      <c r="C1053" s="1">
        <v>0.99930555555555556</v>
      </c>
      <c r="E1053" s="21">
        <f t="shared" si="15"/>
        <v>0.16597222222222219</v>
      </c>
      <c r="G1053" s="3" t="s">
        <v>306</v>
      </c>
      <c r="I1053" s="3" t="s">
        <v>308</v>
      </c>
    </row>
    <row r="1054" spans="1:13" x14ac:dyDescent="0.25">
      <c r="A1054" s="20">
        <v>41868</v>
      </c>
      <c r="B1054" s="1">
        <v>0</v>
      </c>
      <c r="C1054" s="1">
        <v>3.1944444444444449E-2</v>
      </c>
      <c r="E1054" s="21">
        <f t="shared" si="15"/>
        <v>3.1944444444444449E-2</v>
      </c>
      <c r="F1054" s="25">
        <f>SUM(E1054:E1083)</f>
        <v>1.1812500000000001</v>
      </c>
      <c r="G1054" s="3" t="s">
        <v>306</v>
      </c>
      <c r="I1054" s="3" t="s">
        <v>308</v>
      </c>
    </row>
    <row r="1055" spans="1:13" x14ac:dyDescent="0.25">
      <c r="A1055" s="20">
        <v>41868</v>
      </c>
      <c r="B1055" s="1">
        <v>0.11805555555555557</v>
      </c>
      <c r="C1055" s="1">
        <v>0.12986111111111112</v>
      </c>
      <c r="E1055" s="21">
        <f t="shared" si="15"/>
        <v>1.1805555555555555E-2</v>
      </c>
      <c r="G1055" s="3" t="s">
        <v>306</v>
      </c>
      <c r="I1055" s="3" t="s">
        <v>308</v>
      </c>
    </row>
    <row r="1056" spans="1:13" x14ac:dyDescent="0.25">
      <c r="E1056" s="21">
        <f t="shared" si="15"/>
        <v>0</v>
      </c>
    </row>
    <row r="1057" spans="1:13" x14ac:dyDescent="0.25">
      <c r="A1057" s="20">
        <v>41868</v>
      </c>
      <c r="B1057" s="1">
        <v>0.83333333333333337</v>
      </c>
      <c r="C1057" s="1">
        <v>0.94305555555555554</v>
      </c>
      <c r="D1057" s="4">
        <v>1.5277777777777777E-2</v>
      </c>
      <c r="E1057" s="21">
        <f t="shared" si="15"/>
        <v>0.10277777777777772</v>
      </c>
      <c r="F1057" s="26"/>
      <c r="G1057" s="3" t="s">
        <v>306</v>
      </c>
      <c r="I1057" s="3" t="s">
        <v>308</v>
      </c>
    </row>
    <row r="1058" spans="1:13" x14ac:dyDescent="0.25">
      <c r="A1058" s="20">
        <v>41868</v>
      </c>
      <c r="B1058" s="1">
        <v>0.9555555555555556</v>
      </c>
      <c r="C1058" s="1">
        <v>0.99930555555555556</v>
      </c>
      <c r="E1058" s="21">
        <f t="shared" si="15"/>
        <v>4.3749999999999956E-2</v>
      </c>
      <c r="F1058" s="27"/>
      <c r="G1058" s="3" t="s">
        <v>306</v>
      </c>
      <c r="I1058" s="3" t="s">
        <v>308</v>
      </c>
    </row>
    <row r="1059" spans="1:13" x14ac:dyDescent="0.25">
      <c r="A1059" s="20">
        <v>41869</v>
      </c>
      <c r="B1059" s="1">
        <v>0</v>
      </c>
      <c r="C1059" s="1">
        <v>2.0833333333333333E-3</v>
      </c>
      <c r="E1059" s="21">
        <f t="shared" si="15"/>
        <v>2.0833333333333333E-3</v>
      </c>
      <c r="G1059" s="3" t="s">
        <v>306</v>
      </c>
      <c r="I1059" s="3" t="s">
        <v>308</v>
      </c>
    </row>
    <row r="1060" spans="1:13" x14ac:dyDescent="0.25">
      <c r="E1060" s="21">
        <f t="shared" si="15"/>
        <v>0</v>
      </c>
    </row>
    <row r="1061" spans="1:13" x14ac:dyDescent="0.25">
      <c r="A1061" s="20">
        <v>41869</v>
      </c>
      <c r="B1061" s="1">
        <v>0.44791666666666669</v>
      </c>
      <c r="C1061" s="1">
        <v>0.48125000000000001</v>
      </c>
      <c r="E1061" s="21">
        <f t="shared" si="15"/>
        <v>3.3333333333333326E-2</v>
      </c>
      <c r="G1061" s="9" t="s">
        <v>241</v>
      </c>
      <c r="H1061" s="9"/>
      <c r="I1061" s="7" t="s">
        <v>233</v>
      </c>
      <c r="K1061" s="2" t="s">
        <v>384</v>
      </c>
    </row>
    <row r="1062" spans="1:13" x14ac:dyDescent="0.25">
      <c r="A1062" s="20">
        <v>41869</v>
      </c>
      <c r="B1062" s="1">
        <f>C1061</f>
        <v>0.48125000000000001</v>
      </c>
      <c r="C1062" s="1">
        <v>0.48819444444444443</v>
      </c>
      <c r="E1062" s="21">
        <f t="shared" si="15"/>
        <v>6.9444444444444198E-3</v>
      </c>
      <c r="G1062" s="3" t="s">
        <v>334</v>
      </c>
      <c r="H1062" s="3" t="s">
        <v>368</v>
      </c>
      <c r="I1062" s="7" t="s">
        <v>338</v>
      </c>
    </row>
    <row r="1063" spans="1:13" x14ac:dyDescent="0.25">
      <c r="A1063" s="20">
        <v>41869</v>
      </c>
      <c r="B1063" s="1">
        <f>C1062</f>
        <v>0.48819444444444443</v>
      </c>
      <c r="C1063" s="1">
        <v>0.50555555555555554</v>
      </c>
      <c r="E1063" s="21">
        <f t="shared" si="15"/>
        <v>1.7361111111111105E-2</v>
      </c>
      <c r="G1063" s="3" t="s">
        <v>387</v>
      </c>
      <c r="I1063" s="7" t="s">
        <v>388</v>
      </c>
      <c r="K1063" s="8" t="s">
        <v>410</v>
      </c>
    </row>
    <row r="1064" spans="1:13" x14ac:dyDescent="0.25">
      <c r="A1064" s="20">
        <v>41869</v>
      </c>
      <c r="B1064" s="1">
        <v>0.50555555555555554</v>
      </c>
      <c r="C1064" s="1">
        <v>0.625</v>
      </c>
      <c r="D1064" s="4">
        <v>8.3333333333333332E-3</v>
      </c>
      <c r="E1064" s="21">
        <f t="shared" si="15"/>
        <v>0.11944444444444446</v>
      </c>
      <c r="G1064" s="3" t="s">
        <v>385</v>
      </c>
      <c r="I1064" s="7" t="s">
        <v>386</v>
      </c>
      <c r="M1064" s="7" t="s">
        <v>367</v>
      </c>
    </row>
    <row r="1065" spans="1:13" x14ac:dyDescent="0.25">
      <c r="A1065" s="20">
        <v>41869</v>
      </c>
      <c r="B1065" s="1">
        <f>C1064</f>
        <v>0.625</v>
      </c>
      <c r="C1065" s="1">
        <v>0.64236111111111105</v>
      </c>
      <c r="E1065" s="21">
        <f t="shared" si="15"/>
        <v>1.7361111111111049E-2</v>
      </c>
      <c r="G1065" s="3" t="s">
        <v>387</v>
      </c>
      <c r="I1065" s="7" t="s">
        <v>388</v>
      </c>
      <c r="K1065" s="8" t="s">
        <v>410</v>
      </c>
      <c r="M1065" s="7"/>
    </row>
    <row r="1066" spans="1:13" x14ac:dyDescent="0.25">
      <c r="A1066" s="20">
        <v>41869</v>
      </c>
      <c r="B1066" s="1">
        <v>0.76666666666666661</v>
      </c>
      <c r="C1066" s="1">
        <v>0.77916666666666667</v>
      </c>
      <c r="E1066" s="21">
        <f t="shared" si="15"/>
        <v>1.2500000000000067E-2</v>
      </c>
      <c r="G1066" s="3" t="s">
        <v>385</v>
      </c>
      <c r="I1066" s="7" t="s">
        <v>386</v>
      </c>
      <c r="M1066" s="7" t="s">
        <v>367</v>
      </c>
    </row>
    <row r="1067" spans="1:13" s="49" customFormat="1" x14ac:dyDescent="0.25">
      <c r="A1067" s="51">
        <v>41869</v>
      </c>
      <c r="B1067" s="42">
        <v>0.88888888888888884</v>
      </c>
      <c r="C1067" s="42">
        <v>0.93402777777777779</v>
      </c>
      <c r="D1067" s="4"/>
      <c r="E1067" s="21">
        <f t="shared" ref="E1067" si="16">IF(D1067&lt;(12/1440),C1067-B1067,C1067-B1067-D1067+(12/1440))</f>
        <v>4.5138888888888951E-2</v>
      </c>
      <c r="F1067" s="44"/>
      <c r="G1067" s="45" t="s">
        <v>387</v>
      </c>
      <c r="H1067" s="45"/>
      <c r="I1067" s="46" t="s">
        <v>388</v>
      </c>
      <c r="J1067" s="47"/>
      <c r="K1067" s="48" t="s">
        <v>400</v>
      </c>
    </row>
    <row r="1068" spans="1:13" x14ac:dyDescent="0.25">
      <c r="E1068" s="21">
        <f t="shared" si="15"/>
        <v>0</v>
      </c>
    </row>
    <row r="1069" spans="1:13" x14ac:dyDescent="0.25">
      <c r="A1069" s="20">
        <v>41870</v>
      </c>
      <c r="B1069" s="1">
        <v>3.472222222222222E-3</v>
      </c>
      <c r="C1069" s="1">
        <v>4.3055555555555562E-2</v>
      </c>
      <c r="E1069" s="21">
        <f t="shared" si="15"/>
        <v>3.9583333333333338E-2</v>
      </c>
      <c r="G1069" s="9" t="s">
        <v>241</v>
      </c>
      <c r="H1069" s="3" t="s">
        <v>368</v>
      </c>
      <c r="I1069" s="7" t="s">
        <v>233</v>
      </c>
      <c r="K1069" s="2" t="s">
        <v>364</v>
      </c>
    </row>
    <row r="1070" spans="1:13" x14ac:dyDescent="0.25">
      <c r="A1070" s="20">
        <v>41870</v>
      </c>
      <c r="B1070" s="1">
        <v>0.44444444444444442</v>
      </c>
      <c r="C1070" s="1">
        <v>0.52083333333333337</v>
      </c>
      <c r="E1070" s="21">
        <f t="shared" si="15"/>
        <v>7.6388888888888951E-2</v>
      </c>
      <c r="G1070" s="9" t="s">
        <v>241</v>
      </c>
      <c r="H1070" s="9"/>
      <c r="I1070" s="7" t="s">
        <v>233</v>
      </c>
      <c r="K1070" s="2" t="s">
        <v>384</v>
      </c>
    </row>
    <row r="1071" spans="1:13" x14ac:dyDescent="0.25">
      <c r="A1071" s="20">
        <v>41870</v>
      </c>
      <c r="B1071" s="1">
        <v>0.57638888888888895</v>
      </c>
      <c r="C1071" s="1">
        <v>0.63194444444444442</v>
      </c>
      <c r="E1071" s="21">
        <f t="shared" si="15"/>
        <v>5.5555555555555469E-2</v>
      </c>
      <c r="G1071" s="9" t="s">
        <v>241</v>
      </c>
      <c r="H1071" s="9"/>
      <c r="I1071" s="7" t="s">
        <v>233</v>
      </c>
      <c r="K1071" s="8" t="s">
        <v>411</v>
      </c>
    </row>
    <row r="1072" spans="1:13" x14ac:dyDescent="0.25">
      <c r="A1072" s="20">
        <v>41870</v>
      </c>
      <c r="B1072" s="1">
        <v>0.85416666666666663</v>
      </c>
      <c r="C1072" s="1">
        <v>0.92083333333333339</v>
      </c>
      <c r="E1072" s="21">
        <f t="shared" si="15"/>
        <v>6.6666666666666763E-2</v>
      </c>
      <c r="G1072" s="9" t="s">
        <v>241</v>
      </c>
      <c r="H1072" s="9"/>
      <c r="I1072" s="7" t="s">
        <v>233</v>
      </c>
      <c r="K1072" s="8" t="s">
        <v>416</v>
      </c>
    </row>
    <row r="1073" spans="1:11" x14ac:dyDescent="0.25">
      <c r="A1073" s="20">
        <v>41870</v>
      </c>
      <c r="B1073" s="1">
        <v>0.96527777777777779</v>
      </c>
      <c r="C1073" s="1">
        <v>0.99930555555555556</v>
      </c>
      <c r="E1073" s="21">
        <f t="shared" si="15"/>
        <v>3.4027777777777768E-2</v>
      </c>
      <c r="F1073" s="26"/>
      <c r="G1073" s="9" t="s">
        <v>241</v>
      </c>
      <c r="H1073" s="3" t="s">
        <v>368</v>
      </c>
      <c r="I1073" s="7" t="s">
        <v>233</v>
      </c>
    </row>
    <row r="1074" spans="1:11" x14ac:dyDescent="0.25">
      <c r="E1074" s="21">
        <f t="shared" si="15"/>
        <v>0</v>
      </c>
      <c r="F1074" s="27"/>
    </row>
    <row r="1075" spans="1:11" x14ac:dyDescent="0.25">
      <c r="A1075" s="20">
        <v>41871</v>
      </c>
      <c r="B1075" s="1">
        <v>0.10069444444444443</v>
      </c>
      <c r="C1075" s="1">
        <v>0.125</v>
      </c>
      <c r="E1075" s="21">
        <f t="shared" si="15"/>
        <v>2.4305555555555566E-2</v>
      </c>
      <c r="G1075" s="9" t="s">
        <v>241</v>
      </c>
      <c r="H1075" s="3" t="s">
        <v>368</v>
      </c>
      <c r="I1075" s="7" t="s">
        <v>233</v>
      </c>
    </row>
    <row r="1076" spans="1:11" x14ac:dyDescent="0.25">
      <c r="A1076" s="20">
        <v>41871</v>
      </c>
      <c r="B1076" s="1">
        <v>0.44722222222222219</v>
      </c>
      <c r="C1076" s="1">
        <v>0.55208333333333337</v>
      </c>
      <c r="E1076" s="21">
        <f t="shared" si="15"/>
        <v>0.10486111111111118</v>
      </c>
      <c r="G1076" s="9" t="s">
        <v>241</v>
      </c>
      <c r="I1076" s="7" t="s">
        <v>233</v>
      </c>
      <c r="K1076" s="8" t="s">
        <v>417</v>
      </c>
    </row>
    <row r="1077" spans="1:11" x14ac:dyDescent="0.25">
      <c r="A1077" s="20">
        <v>41871</v>
      </c>
      <c r="B1077" s="1">
        <v>0.59722222222222221</v>
      </c>
      <c r="C1077" s="1">
        <v>0.72430555555555554</v>
      </c>
      <c r="E1077" s="21">
        <f t="shared" si="15"/>
        <v>0.12708333333333333</v>
      </c>
      <c r="G1077" s="9" t="s">
        <v>241</v>
      </c>
      <c r="H1077" s="3" t="s">
        <v>368</v>
      </c>
      <c r="I1077" s="7" t="s">
        <v>233</v>
      </c>
    </row>
    <row r="1078" spans="1:11" x14ac:dyDescent="0.25">
      <c r="E1078" s="21">
        <f t="shared" si="15"/>
        <v>0</v>
      </c>
    </row>
    <row r="1079" spans="1:11" x14ac:dyDescent="0.25">
      <c r="A1079" s="20">
        <v>41872</v>
      </c>
      <c r="B1079" s="1">
        <v>0.625</v>
      </c>
      <c r="C1079" s="1">
        <v>0.64236111111111105</v>
      </c>
      <c r="E1079" s="21">
        <f t="shared" si="15"/>
        <v>1.7361111111111049E-2</v>
      </c>
      <c r="G1079" s="3" t="s">
        <v>331</v>
      </c>
      <c r="H1079" s="3" t="s">
        <v>368</v>
      </c>
      <c r="I1079" s="7" t="s">
        <v>335</v>
      </c>
    </row>
    <row r="1080" spans="1:11" x14ac:dyDescent="0.25">
      <c r="A1080" s="20">
        <v>41873</v>
      </c>
      <c r="B1080" s="1">
        <v>0.84375</v>
      </c>
      <c r="C1080" s="1">
        <v>0.875</v>
      </c>
      <c r="E1080" s="21">
        <f t="shared" si="15"/>
        <v>3.125E-2</v>
      </c>
      <c r="G1080" s="9" t="s">
        <v>418</v>
      </c>
      <c r="H1080" s="9"/>
      <c r="I1080" s="7" t="s">
        <v>419</v>
      </c>
    </row>
    <row r="1081" spans="1:11" x14ac:dyDescent="0.25">
      <c r="A1081" s="20">
        <v>41873</v>
      </c>
      <c r="B1081" s="1">
        <v>0.9375</v>
      </c>
      <c r="C1081" s="1">
        <v>0.99930555555555556</v>
      </c>
      <c r="E1081" s="21">
        <f t="shared" si="15"/>
        <v>6.1805555555555558E-2</v>
      </c>
      <c r="G1081" s="9" t="s">
        <v>418</v>
      </c>
      <c r="H1081" s="9"/>
      <c r="I1081" s="7" t="s">
        <v>419</v>
      </c>
    </row>
    <row r="1082" spans="1:11" x14ac:dyDescent="0.25">
      <c r="E1082" s="21">
        <f t="shared" si="15"/>
        <v>0</v>
      </c>
    </row>
    <row r="1083" spans="1:11" x14ac:dyDescent="0.25">
      <c r="A1083" s="20">
        <v>41873</v>
      </c>
      <c r="B1083" s="1">
        <v>0</v>
      </c>
      <c r="C1083" s="1">
        <v>9.7916666666666666E-2</v>
      </c>
      <c r="E1083" s="21">
        <f t="shared" si="15"/>
        <v>9.7916666666666666E-2</v>
      </c>
      <c r="G1083" s="9" t="s">
        <v>418</v>
      </c>
      <c r="H1083" s="9"/>
      <c r="I1083" s="7" t="s">
        <v>419</v>
      </c>
    </row>
    <row r="1084" spans="1:11" x14ac:dyDescent="0.25">
      <c r="E1084" s="21">
        <f t="shared" si="15"/>
        <v>0</v>
      </c>
    </row>
    <row r="1085" spans="1:11" x14ac:dyDescent="0.25">
      <c r="A1085" s="20">
        <v>41876</v>
      </c>
      <c r="B1085" s="1">
        <v>0.44722222222222219</v>
      </c>
      <c r="C1085" s="1">
        <v>0.45902777777777781</v>
      </c>
      <c r="E1085" s="21">
        <f t="shared" si="15"/>
        <v>1.1805555555555625E-2</v>
      </c>
      <c r="F1085" s="25">
        <f>SUM(E1085:E1097)</f>
        <v>0.31319444444444455</v>
      </c>
      <c r="G1085" s="3" t="s">
        <v>334</v>
      </c>
      <c r="H1085" s="3" t="s">
        <v>368</v>
      </c>
      <c r="I1085" s="7" t="s">
        <v>338</v>
      </c>
    </row>
    <row r="1086" spans="1:11" x14ac:dyDescent="0.25">
      <c r="A1086" s="20">
        <v>41876</v>
      </c>
      <c r="B1086" s="1">
        <v>0.53819444444444442</v>
      </c>
      <c r="C1086" s="1">
        <v>0.58611111111111114</v>
      </c>
      <c r="D1086" s="4">
        <v>6.9444444444444441E-3</v>
      </c>
      <c r="E1086" s="21">
        <f t="shared" si="15"/>
        <v>4.7916666666666718E-2</v>
      </c>
      <c r="F1086" s="26"/>
      <c r="G1086" s="3" t="s">
        <v>385</v>
      </c>
      <c r="I1086" s="7" t="s">
        <v>386</v>
      </c>
      <c r="K1086" s="8" t="s">
        <v>427</v>
      </c>
    </row>
    <row r="1087" spans="1:11" x14ac:dyDescent="0.25">
      <c r="A1087" s="20">
        <v>41876</v>
      </c>
      <c r="B1087" s="1">
        <f>C1086</f>
        <v>0.58611111111111114</v>
      </c>
      <c r="C1087" s="1">
        <v>0.63541666666666663</v>
      </c>
      <c r="E1087" s="21">
        <f t="shared" si="15"/>
        <v>4.9305555555555491E-2</v>
      </c>
      <c r="F1087" s="27"/>
      <c r="G1087" s="3" t="s">
        <v>387</v>
      </c>
      <c r="I1087" s="7" t="s">
        <v>388</v>
      </c>
    </row>
    <row r="1088" spans="1:11" x14ac:dyDescent="0.25">
      <c r="A1088" s="20">
        <v>41876</v>
      </c>
      <c r="B1088" s="1">
        <f>C1087</f>
        <v>0.63541666666666663</v>
      </c>
      <c r="C1088" s="1">
        <v>0.65277777777777779</v>
      </c>
      <c r="E1088" s="21">
        <f t="shared" si="15"/>
        <v>1.736111111111116E-2</v>
      </c>
      <c r="F1088" s="27"/>
      <c r="G1088" s="3" t="s">
        <v>334</v>
      </c>
      <c r="I1088" s="7" t="s">
        <v>338</v>
      </c>
      <c r="K1088" s="8" t="s">
        <v>429</v>
      </c>
    </row>
    <row r="1089" spans="1:13" x14ac:dyDescent="0.25">
      <c r="A1089" s="20">
        <v>41876</v>
      </c>
      <c r="B1089" s="1">
        <v>0.65277777777777779</v>
      </c>
      <c r="C1089" s="1">
        <v>0.66319444444444442</v>
      </c>
      <c r="E1089" s="21">
        <f t="shared" si="15"/>
        <v>1.041666666666663E-2</v>
      </c>
      <c r="G1089" s="3" t="s">
        <v>387</v>
      </c>
      <c r="I1089" s="7" t="s">
        <v>388</v>
      </c>
      <c r="K1089" s="8" t="s">
        <v>428</v>
      </c>
    </row>
    <row r="1090" spans="1:13" x14ac:dyDescent="0.25">
      <c r="A1090" s="20">
        <v>41876</v>
      </c>
      <c r="B1090" s="1">
        <v>0.87152777777777779</v>
      </c>
      <c r="C1090" s="1">
        <v>0.9159722222222223</v>
      </c>
      <c r="E1090" s="21">
        <f t="shared" si="15"/>
        <v>4.4444444444444509E-2</v>
      </c>
    </row>
    <row r="1092" spans="1:13" x14ac:dyDescent="0.25">
      <c r="A1092" s="20">
        <v>41879</v>
      </c>
      <c r="B1092" s="1">
        <v>0.43402777777777773</v>
      </c>
      <c r="C1092" s="1">
        <v>0.44305555555555554</v>
      </c>
      <c r="E1092" s="21">
        <f t="shared" ref="E1092:E1110" si="17">IF(D1092&lt;(12/1440),C1092-B1092,C1092-B1092-D1092+(12/1440))</f>
        <v>9.0277777777778012E-3</v>
      </c>
      <c r="G1092" s="3" t="s">
        <v>334</v>
      </c>
      <c r="I1092" s="7" t="s">
        <v>338</v>
      </c>
    </row>
    <row r="1093" spans="1:13" x14ac:dyDescent="0.25">
      <c r="E1093" s="21">
        <f t="shared" si="17"/>
        <v>0</v>
      </c>
    </row>
    <row r="1094" spans="1:13" x14ac:dyDescent="0.25">
      <c r="A1094" s="20">
        <v>41880</v>
      </c>
      <c r="B1094" s="1">
        <v>0.56388888888888888</v>
      </c>
      <c r="C1094" s="1">
        <v>0.58263888888888882</v>
      </c>
      <c r="E1094" s="21">
        <f t="shared" si="17"/>
        <v>1.8749999999999933E-2</v>
      </c>
      <c r="G1094" s="3" t="s">
        <v>334</v>
      </c>
      <c r="I1094" s="7" t="s">
        <v>338</v>
      </c>
      <c r="K1094" s="2" t="s">
        <v>430</v>
      </c>
    </row>
    <row r="1095" spans="1:13" x14ac:dyDescent="0.25">
      <c r="A1095" s="20">
        <v>41880</v>
      </c>
      <c r="B1095" s="1">
        <v>0.72777777777777775</v>
      </c>
      <c r="C1095" s="1">
        <v>0.76597222222222217</v>
      </c>
      <c r="E1095" s="21">
        <f t="shared" si="17"/>
        <v>3.819444444444442E-2</v>
      </c>
      <c r="G1095" s="3" t="s">
        <v>306</v>
      </c>
      <c r="I1095" s="3" t="s">
        <v>308</v>
      </c>
      <c r="K1095" s="2" t="s">
        <v>431</v>
      </c>
    </row>
    <row r="1096" spans="1:13" x14ac:dyDescent="0.25">
      <c r="E1096" s="21">
        <f t="shared" si="17"/>
        <v>0</v>
      </c>
    </row>
    <row r="1097" spans="1:13" x14ac:dyDescent="0.25">
      <c r="A1097" s="20">
        <v>41881</v>
      </c>
      <c r="B1097" s="1">
        <v>0.48888888888888887</v>
      </c>
      <c r="C1097" s="1">
        <v>0.56388888888888888</v>
      </c>
      <c r="D1097" s="4">
        <v>1.7361111111111112E-2</v>
      </c>
      <c r="E1097" s="21">
        <f t="shared" si="17"/>
        <v>6.5972222222222238E-2</v>
      </c>
      <c r="G1097" s="3" t="s">
        <v>306</v>
      </c>
      <c r="I1097" s="3" t="s">
        <v>308</v>
      </c>
    </row>
    <row r="1098" spans="1:13" x14ac:dyDescent="0.25">
      <c r="E1098" s="21">
        <f t="shared" si="17"/>
        <v>0</v>
      </c>
    </row>
    <row r="1099" spans="1:13" x14ac:dyDescent="0.25">
      <c r="A1099" s="20">
        <v>41883</v>
      </c>
      <c r="E1099" s="21">
        <f t="shared" si="17"/>
        <v>0</v>
      </c>
      <c r="F1099" s="25">
        <f>SUM(E1099:E1100)</f>
        <v>0</v>
      </c>
      <c r="K1099" s="2" t="s">
        <v>432</v>
      </c>
    </row>
    <row r="1100" spans="1:13" x14ac:dyDescent="0.25">
      <c r="A1100" s="20">
        <v>41892</v>
      </c>
    </row>
    <row r="1101" spans="1:13" x14ac:dyDescent="0.25">
      <c r="E1101" s="21">
        <f t="shared" si="17"/>
        <v>0</v>
      </c>
    </row>
    <row r="1102" spans="1:13" x14ac:dyDescent="0.25">
      <c r="A1102" s="20">
        <v>41893</v>
      </c>
      <c r="B1102" s="1">
        <v>0.53819444444444442</v>
      </c>
      <c r="C1102" s="1">
        <v>0.59097222222222223</v>
      </c>
      <c r="E1102" s="21">
        <f t="shared" si="17"/>
        <v>5.2777777777777812E-2</v>
      </c>
      <c r="F1102" s="25">
        <f>SUM(E1102:E1103)</f>
        <v>5.2777777777777812E-2</v>
      </c>
      <c r="G1102" s="3" t="s">
        <v>306</v>
      </c>
      <c r="I1102" s="3" t="s">
        <v>308</v>
      </c>
    </row>
    <row r="1103" spans="1:13" x14ac:dyDescent="0.25">
      <c r="E1103" s="21">
        <f t="shared" si="17"/>
        <v>0</v>
      </c>
    </row>
    <row r="1104" spans="1:13" x14ac:dyDescent="0.25">
      <c r="A1104" s="20">
        <v>41911</v>
      </c>
      <c r="B1104" s="1">
        <v>0.4861111111111111</v>
      </c>
      <c r="C1104" s="1">
        <v>0.5</v>
      </c>
      <c r="E1104" s="21">
        <f t="shared" si="17"/>
        <v>1.3888888888888895E-2</v>
      </c>
      <c r="F1104" s="25">
        <f>SUM(E1104:E1109)</f>
        <v>5.4166666666666738E-2</v>
      </c>
      <c r="G1104" s="3" t="s">
        <v>333</v>
      </c>
      <c r="H1104" s="3" t="s">
        <v>438</v>
      </c>
      <c r="I1104" s="7" t="s">
        <v>340</v>
      </c>
      <c r="K1104" s="2" t="s">
        <v>434</v>
      </c>
      <c r="M1104" s="7"/>
    </row>
    <row r="1105" spans="1:11" x14ac:dyDescent="0.25">
      <c r="E1105" s="21">
        <f t="shared" si="17"/>
        <v>0</v>
      </c>
      <c r="F1105" s="27"/>
    </row>
    <row r="1106" spans="1:11" x14ac:dyDescent="0.25">
      <c r="A1106" s="20">
        <v>41912</v>
      </c>
      <c r="B1106" s="1">
        <v>0.58333333333333337</v>
      </c>
      <c r="C1106" s="1">
        <v>0.625</v>
      </c>
      <c r="D1106" s="4">
        <v>1.1111111111111112E-2</v>
      </c>
      <c r="E1106" s="21">
        <f t="shared" si="17"/>
        <v>3.8888888888888848E-2</v>
      </c>
      <c r="G1106" s="3" t="s">
        <v>334</v>
      </c>
      <c r="H1106" s="3" t="s">
        <v>438</v>
      </c>
      <c r="I1106" s="7" t="s">
        <v>338</v>
      </c>
      <c r="K1106" s="2" t="s">
        <v>433</v>
      </c>
    </row>
    <row r="1107" spans="1:11" x14ac:dyDescent="0.25">
      <c r="A1107" s="20">
        <v>41912</v>
      </c>
      <c r="B1107" s="1">
        <v>0.84930555555555554</v>
      </c>
      <c r="C1107" s="1">
        <v>0.85069444444444453</v>
      </c>
      <c r="E1107" s="21">
        <f t="shared" si="17"/>
        <v>1.388888888888995E-3</v>
      </c>
      <c r="G1107" s="3" t="s">
        <v>306</v>
      </c>
      <c r="I1107" s="3" t="s">
        <v>308</v>
      </c>
    </row>
    <row r="1108" spans="1:11" x14ac:dyDescent="0.25">
      <c r="E1108" s="21">
        <f t="shared" si="17"/>
        <v>0</v>
      </c>
    </row>
    <row r="1109" spans="1:11" x14ac:dyDescent="0.25">
      <c r="A1109" s="20">
        <v>41913</v>
      </c>
      <c r="B1109" s="1">
        <v>0.57291666666666663</v>
      </c>
      <c r="C1109" s="1">
        <v>0.57291666666666663</v>
      </c>
      <c r="E1109" s="21">
        <f t="shared" si="17"/>
        <v>0</v>
      </c>
      <c r="G1109" s="3" t="s">
        <v>435</v>
      </c>
      <c r="I1109" t="s">
        <v>436</v>
      </c>
    </row>
    <row r="1110" spans="1:11" x14ac:dyDescent="0.25">
      <c r="E1110" s="21">
        <f t="shared" si="17"/>
        <v>0</v>
      </c>
    </row>
    <row r="1111" spans="1:11" x14ac:dyDescent="0.25">
      <c r="A1111" s="20">
        <v>41925</v>
      </c>
      <c r="B1111" s="1">
        <v>0.57500000000000007</v>
      </c>
      <c r="C1111" s="1">
        <v>0.57708333333333328</v>
      </c>
      <c r="E1111" s="21">
        <f t="shared" ref="E1111:E1132" si="18">IF(D1111&lt;(12/1440),C1111-B1111,C1111-B1111-D1111+(12/1440))</f>
        <v>2.0833333333332149E-3</v>
      </c>
      <c r="F1111" s="25">
        <f>SUM(E1111:E1120)</f>
        <v>0.35694444444444434</v>
      </c>
      <c r="G1111" s="3" t="s">
        <v>306</v>
      </c>
      <c r="I1111" s="3" t="s">
        <v>308</v>
      </c>
    </row>
    <row r="1112" spans="1:11" x14ac:dyDescent="0.25">
      <c r="E1112" s="21">
        <f t="shared" si="18"/>
        <v>0</v>
      </c>
    </row>
    <row r="1113" spans="1:11" x14ac:dyDescent="0.25">
      <c r="A1113" s="20">
        <v>41927</v>
      </c>
      <c r="B1113" s="1">
        <v>0.4548611111111111</v>
      </c>
      <c r="C1113" s="1">
        <v>0.55902777777777779</v>
      </c>
      <c r="D1113" s="4">
        <v>1.7361111111111112E-2</v>
      </c>
      <c r="E1113" s="21">
        <f t="shared" si="18"/>
        <v>9.5138888888888912E-2</v>
      </c>
      <c r="G1113" s="3" t="s">
        <v>306</v>
      </c>
      <c r="I1113" s="3" t="s">
        <v>308</v>
      </c>
    </row>
    <row r="1114" spans="1:11" x14ac:dyDescent="0.25">
      <c r="A1114" s="20">
        <v>41927</v>
      </c>
      <c r="B1114" s="1">
        <v>0.58333333333333337</v>
      </c>
      <c r="C1114" s="1">
        <v>0.62222222222222223</v>
      </c>
      <c r="D1114" s="4">
        <v>7.6388888888888886E-3</v>
      </c>
      <c r="E1114" s="21">
        <f t="shared" si="18"/>
        <v>3.8888888888888862E-2</v>
      </c>
      <c r="G1114" s="3" t="s">
        <v>306</v>
      </c>
      <c r="I1114" s="3" t="s">
        <v>308</v>
      </c>
    </row>
    <row r="1115" spans="1:11" x14ac:dyDescent="0.25">
      <c r="A1115" s="20">
        <v>41927</v>
      </c>
      <c r="B1115" s="1">
        <v>0.71875</v>
      </c>
      <c r="C1115" s="1">
        <v>0.79166666666666663</v>
      </c>
      <c r="E1115" s="21">
        <f t="shared" si="18"/>
        <v>7.291666666666663E-2</v>
      </c>
      <c r="G1115" s="9" t="s">
        <v>313</v>
      </c>
      <c r="H1115" s="9"/>
      <c r="I1115" s="7" t="s">
        <v>321</v>
      </c>
      <c r="K1115" s="2" t="s">
        <v>437</v>
      </c>
    </row>
    <row r="1116" spans="1:11" x14ac:dyDescent="0.25">
      <c r="E1116" s="21">
        <f t="shared" si="18"/>
        <v>0</v>
      </c>
    </row>
    <row r="1117" spans="1:11" x14ac:dyDescent="0.25">
      <c r="A1117" s="20">
        <v>41929</v>
      </c>
      <c r="B1117" s="1">
        <v>0.3923611111111111</v>
      </c>
      <c r="C1117" s="1">
        <v>0.40972222222222227</v>
      </c>
      <c r="D1117" s="4">
        <v>3.472222222222222E-3</v>
      </c>
      <c r="E1117" s="21">
        <f t="shared" si="18"/>
        <v>1.736111111111116E-2</v>
      </c>
      <c r="G1117" s="3" t="s">
        <v>306</v>
      </c>
      <c r="I1117" s="3" t="s">
        <v>308</v>
      </c>
    </row>
    <row r="1118" spans="1:11" x14ac:dyDescent="0.25">
      <c r="A1118" s="20">
        <v>41929</v>
      </c>
      <c r="B1118" s="1">
        <v>0.43888888888888888</v>
      </c>
      <c r="C1118" s="1">
        <v>0.47916666666666669</v>
      </c>
      <c r="E1118" s="21">
        <f t="shared" si="18"/>
        <v>4.0277777777777801E-2</v>
      </c>
      <c r="F1118" s="26"/>
      <c r="G1118" s="3" t="s">
        <v>306</v>
      </c>
      <c r="I1118" s="3" t="s">
        <v>308</v>
      </c>
    </row>
    <row r="1119" spans="1:11" x14ac:dyDescent="0.25">
      <c r="A1119" s="20">
        <v>41929</v>
      </c>
      <c r="B1119" s="1">
        <v>0.54166666666666663</v>
      </c>
      <c r="C1119" s="1">
        <v>0.57222222222222219</v>
      </c>
      <c r="E1119" s="21">
        <f t="shared" si="18"/>
        <v>3.0555555555555558E-2</v>
      </c>
      <c r="F1119" s="27"/>
      <c r="G1119" s="3" t="s">
        <v>306</v>
      </c>
      <c r="I1119" s="3" t="s">
        <v>308</v>
      </c>
    </row>
    <row r="1120" spans="1:11" x14ac:dyDescent="0.25">
      <c r="A1120" s="20">
        <v>41929</v>
      </c>
      <c r="B1120" s="1">
        <v>0.65625</v>
      </c>
      <c r="C1120" s="1">
        <v>0.72499999999999998</v>
      </c>
      <c r="D1120" s="4">
        <v>1.7361111111111112E-2</v>
      </c>
      <c r="E1120" s="21">
        <f t="shared" si="18"/>
        <v>5.9722222222222197E-2</v>
      </c>
      <c r="G1120" s="3" t="s">
        <v>306</v>
      </c>
      <c r="I1120" s="3" t="s">
        <v>308</v>
      </c>
    </row>
    <row r="1121" spans="1:11" x14ac:dyDescent="0.25">
      <c r="E1121" s="21">
        <f t="shared" si="18"/>
        <v>0</v>
      </c>
    </row>
    <row r="1122" spans="1:11" x14ac:dyDescent="0.25">
      <c r="A1122" s="20">
        <v>41932</v>
      </c>
      <c r="B1122" s="1">
        <v>0.41666666666666669</v>
      </c>
      <c r="C1122" s="1">
        <v>0.4513888888888889</v>
      </c>
      <c r="D1122" s="4">
        <v>1.0416666666666666E-2</v>
      </c>
      <c r="E1122" s="21">
        <f t="shared" si="18"/>
        <v>3.2638888888888877E-2</v>
      </c>
      <c r="F1122" s="25">
        <f>SUM(E1122:E1137)</f>
        <v>0.47986111111111118</v>
      </c>
      <c r="G1122" s="3" t="s">
        <v>333</v>
      </c>
      <c r="H1122" s="3" t="s">
        <v>438</v>
      </c>
      <c r="I1122" s="7" t="s">
        <v>340</v>
      </c>
      <c r="K1122" s="2" t="s">
        <v>439</v>
      </c>
    </row>
    <row r="1123" spans="1:11" x14ac:dyDescent="0.25">
      <c r="A1123" s="20">
        <v>41932</v>
      </c>
      <c r="B1123" s="1">
        <v>0.60763888888888895</v>
      </c>
      <c r="C1123" s="1">
        <v>0.6166666666666667</v>
      </c>
      <c r="E1123" s="21">
        <f t="shared" si="18"/>
        <v>9.0277777777777457E-3</v>
      </c>
      <c r="G1123" s="3" t="s">
        <v>334</v>
      </c>
      <c r="H1123" s="3" t="s">
        <v>438</v>
      </c>
      <c r="I1123" s="7" t="s">
        <v>338</v>
      </c>
    </row>
    <row r="1124" spans="1:11" x14ac:dyDescent="0.25">
      <c r="A1124" s="20">
        <v>41932</v>
      </c>
      <c r="B1124" s="1">
        <v>0.66666666666666663</v>
      </c>
      <c r="C1124" s="1">
        <v>0.71527777777777779</v>
      </c>
      <c r="E1124" s="21">
        <f t="shared" si="18"/>
        <v>4.861111111111116E-2</v>
      </c>
      <c r="G1124" s="3" t="s">
        <v>333</v>
      </c>
      <c r="H1124" s="3" t="s">
        <v>438</v>
      </c>
      <c r="I1124" s="7" t="s">
        <v>340</v>
      </c>
    </row>
    <row r="1125" spans="1:11" x14ac:dyDescent="0.25">
      <c r="E1125" s="21">
        <f t="shared" si="18"/>
        <v>0</v>
      </c>
      <c r="F1125" s="26"/>
    </row>
    <row r="1126" spans="1:11" x14ac:dyDescent="0.25">
      <c r="A1126" s="20">
        <v>41933</v>
      </c>
      <c r="B1126" s="1">
        <v>0.46875</v>
      </c>
      <c r="C1126" s="1">
        <v>0.47500000000000003</v>
      </c>
      <c r="E1126" s="21">
        <f t="shared" si="18"/>
        <v>6.2500000000000333E-3</v>
      </c>
      <c r="G1126" s="3" t="s">
        <v>333</v>
      </c>
      <c r="H1126" s="3" t="s">
        <v>438</v>
      </c>
      <c r="I1126" s="7" t="s">
        <v>340</v>
      </c>
      <c r="K1126" s="2" t="s">
        <v>440</v>
      </c>
    </row>
    <row r="1127" spans="1:11" x14ac:dyDescent="0.25">
      <c r="E1127" s="21">
        <f t="shared" si="18"/>
        <v>0</v>
      </c>
    </row>
    <row r="1128" spans="1:11" x14ac:dyDescent="0.25">
      <c r="A1128" s="20">
        <v>41933</v>
      </c>
      <c r="B1128" s="1">
        <v>0.47222222222222227</v>
      </c>
      <c r="C1128" s="1">
        <v>0.50763888888888886</v>
      </c>
      <c r="E1128" s="21">
        <f t="shared" si="18"/>
        <v>3.5416666666666596E-2</v>
      </c>
      <c r="F1128" s="26"/>
      <c r="G1128" s="3" t="s">
        <v>331</v>
      </c>
      <c r="H1128" s="3" t="s">
        <v>438</v>
      </c>
      <c r="I1128" s="7" t="s">
        <v>335</v>
      </c>
      <c r="K1128" s="2" t="s">
        <v>441</v>
      </c>
    </row>
    <row r="1129" spans="1:11" x14ac:dyDescent="0.25">
      <c r="A1129" s="20">
        <v>41933</v>
      </c>
      <c r="B1129" s="1">
        <v>0.6166666666666667</v>
      </c>
      <c r="C1129" s="1">
        <v>0.62430555555555556</v>
      </c>
      <c r="E1129" s="21">
        <f t="shared" si="18"/>
        <v>7.6388888888888618E-3</v>
      </c>
      <c r="G1129" s="3" t="s">
        <v>333</v>
      </c>
      <c r="H1129" s="3" t="s">
        <v>438</v>
      </c>
      <c r="I1129" s="7" t="s">
        <v>340</v>
      </c>
    </row>
    <row r="1130" spans="1:11" x14ac:dyDescent="0.25">
      <c r="E1130" s="21">
        <f t="shared" si="18"/>
        <v>0</v>
      </c>
    </row>
    <row r="1131" spans="1:11" x14ac:dyDescent="0.25">
      <c r="A1131" s="20">
        <v>41935</v>
      </c>
      <c r="B1131" s="1">
        <v>0.4201388888888889</v>
      </c>
      <c r="C1131" s="1">
        <v>0.45</v>
      </c>
      <c r="E1131" s="21">
        <f t="shared" si="18"/>
        <v>2.9861111111111116E-2</v>
      </c>
      <c r="F1131" s="26"/>
      <c r="G1131" s="3" t="s">
        <v>333</v>
      </c>
      <c r="H1131" s="3" t="s">
        <v>438</v>
      </c>
      <c r="I1131" s="7" t="s">
        <v>340</v>
      </c>
    </row>
    <row r="1132" spans="1:11" x14ac:dyDescent="0.25">
      <c r="A1132" s="20">
        <v>41935</v>
      </c>
      <c r="B1132" s="1">
        <v>0.56736111111111109</v>
      </c>
      <c r="C1132" s="1">
        <v>0.64930555555555558</v>
      </c>
      <c r="E1132" s="21">
        <f t="shared" si="18"/>
        <v>8.1944444444444486E-2</v>
      </c>
      <c r="G1132" s="3" t="s">
        <v>331</v>
      </c>
      <c r="H1132" s="3" t="s">
        <v>438</v>
      </c>
      <c r="I1132" s="7" t="s">
        <v>335</v>
      </c>
    </row>
    <row r="1134" spans="1:11" x14ac:dyDescent="0.25">
      <c r="A1134" s="20">
        <v>41936</v>
      </c>
      <c r="B1134" s="1">
        <v>0.44444444444444442</v>
      </c>
      <c r="C1134" s="1">
        <v>0.4548611111111111</v>
      </c>
      <c r="E1134" s="21">
        <f t="shared" ref="E1134" si="19">IF(D1134&lt;(12/1440),C1134-B1134,C1134-B1134-D1134+(12/1440))</f>
        <v>1.0416666666666685E-2</v>
      </c>
      <c r="G1134" s="3" t="s">
        <v>331</v>
      </c>
      <c r="H1134" s="3" t="s">
        <v>438</v>
      </c>
      <c r="I1134" s="7" t="s">
        <v>335</v>
      </c>
    </row>
    <row r="1135" spans="1:11" x14ac:dyDescent="0.25">
      <c r="A1135" s="20">
        <v>41936</v>
      </c>
      <c r="B1135" s="1">
        <v>0.4909722222222222</v>
      </c>
      <c r="C1135" s="1">
        <v>0.52708333333333335</v>
      </c>
      <c r="E1135" s="21">
        <f t="shared" ref="E1135:E1136" si="20">IF(D1135&lt;(12/1440),C1135-B1135,C1135-B1135-D1135+(12/1440))</f>
        <v>3.6111111111111149E-2</v>
      </c>
      <c r="G1135" s="3" t="s">
        <v>331</v>
      </c>
      <c r="H1135" s="3" t="s">
        <v>438</v>
      </c>
      <c r="I1135" s="7" t="s">
        <v>335</v>
      </c>
    </row>
    <row r="1136" spans="1:11" x14ac:dyDescent="0.25">
      <c r="A1136" s="20">
        <v>41936</v>
      </c>
      <c r="B1136" s="1">
        <v>0.55208333333333337</v>
      </c>
      <c r="C1136" s="1">
        <v>0.63472222222222219</v>
      </c>
      <c r="E1136" s="21">
        <f t="shared" si="20"/>
        <v>8.2638888888888817E-2</v>
      </c>
      <c r="G1136" s="9" t="s">
        <v>241</v>
      </c>
      <c r="H1136" s="9"/>
      <c r="I1136" s="7" t="s">
        <v>233</v>
      </c>
      <c r="K1136" s="2" t="s">
        <v>442</v>
      </c>
    </row>
    <row r="1137" spans="1:9" x14ac:dyDescent="0.25">
      <c r="A1137" s="20">
        <v>41936</v>
      </c>
      <c r="B1137" s="1">
        <f>C1136</f>
        <v>0.63472222222222219</v>
      </c>
      <c r="C1137" s="1">
        <v>0.74097222222222225</v>
      </c>
      <c r="D1137" s="4">
        <v>1.5277777777777777E-2</v>
      </c>
      <c r="E1137" s="21">
        <f t="shared" ref="E1137:E1149" si="21">IF(D1137&lt;(12/1440),C1137-B1137,C1137-B1137-D1137+(12/1440))</f>
        <v>9.9305555555555619E-2</v>
      </c>
      <c r="G1137" s="3" t="s">
        <v>331</v>
      </c>
      <c r="H1137" s="3" t="s">
        <v>438</v>
      </c>
      <c r="I1137" s="7" t="s">
        <v>335</v>
      </c>
    </row>
    <row r="1138" spans="1:9" x14ac:dyDescent="0.25">
      <c r="A1138" s="20">
        <v>41936</v>
      </c>
      <c r="B1138" s="1">
        <v>0.82638888888888884</v>
      </c>
      <c r="C1138" s="1">
        <v>0.88888888888888884</v>
      </c>
      <c r="E1138" s="21">
        <f t="shared" si="21"/>
        <v>6.25E-2</v>
      </c>
      <c r="G1138" s="3" t="s">
        <v>443</v>
      </c>
      <c r="I1138" s="7" t="s">
        <v>444</v>
      </c>
    </row>
    <row r="1139" spans="1:9" x14ac:dyDescent="0.25">
      <c r="E1139" s="21">
        <f t="shared" si="21"/>
        <v>0</v>
      </c>
      <c r="I1139" s="7"/>
    </row>
    <row r="1140" spans="1:9" x14ac:dyDescent="0.25">
      <c r="A1140" s="20">
        <v>41937</v>
      </c>
      <c r="B1140" s="1">
        <v>0.58333333333333337</v>
      </c>
      <c r="C1140" s="1">
        <v>0.66666666666666663</v>
      </c>
      <c r="E1140" s="21">
        <f t="shared" si="21"/>
        <v>8.3333333333333259E-2</v>
      </c>
      <c r="G1140" s="3" t="s">
        <v>443</v>
      </c>
      <c r="I1140" s="7" t="s">
        <v>444</v>
      </c>
    </row>
    <row r="1142" spans="1:9" x14ac:dyDescent="0.25">
      <c r="A1142" s="20">
        <v>41938</v>
      </c>
      <c r="B1142" s="1">
        <v>0.86111111111111116</v>
      </c>
      <c r="C1142" s="1">
        <v>0.86597222222222225</v>
      </c>
      <c r="E1142" s="21">
        <f t="shared" si="21"/>
        <v>4.8611111111110938E-3</v>
      </c>
      <c r="F1142" s="25">
        <f>SUM(E1142:E1158)</f>
        <v>0.51805555555555582</v>
      </c>
      <c r="G1142" s="3" t="s">
        <v>306</v>
      </c>
      <c r="I1142" s="3" t="s">
        <v>308</v>
      </c>
    </row>
    <row r="1143" spans="1:9" x14ac:dyDescent="0.25">
      <c r="E1143" s="21">
        <f t="shared" si="21"/>
        <v>0</v>
      </c>
      <c r="F1143" s="26"/>
    </row>
    <row r="1144" spans="1:9" x14ac:dyDescent="0.25">
      <c r="A1144" s="20">
        <v>41939</v>
      </c>
      <c r="B1144" s="1">
        <v>0.54861111111111105</v>
      </c>
      <c r="C1144" s="1">
        <v>0.5625</v>
      </c>
      <c r="E1144" s="21">
        <f t="shared" ref="E1144" si="22">IF(D1144&lt;(12/1440),C1144-B1144,C1144-B1144-D1144+(12/1440))</f>
        <v>1.3888888888888951E-2</v>
      </c>
      <c r="G1144" s="3" t="s">
        <v>331</v>
      </c>
      <c r="H1144" s="3" t="s">
        <v>438</v>
      </c>
      <c r="I1144" s="7" t="s">
        <v>335</v>
      </c>
    </row>
    <row r="1145" spans="1:9" x14ac:dyDescent="0.25">
      <c r="A1145" s="20">
        <v>41939</v>
      </c>
      <c r="B1145" s="1">
        <v>0.625</v>
      </c>
      <c r="C1145" s="1">
        <v>0.67638888888888893</v>
      </c>
      <c r="D1145" s="4">
        <v>2.2916666666666669E-2</v>
      </c>
      <c r="E1145" s="21">
        <f t="shared" si="21"/>
        <v>3.6805555555555591E-2</v>
      </c>
      <c r="G1145" s="3" t="s">
        <v>306</v>
      </c>
      <c r="I1145" s="3" t="s">
        <v>308</v>
      </c>
    </row>
    <row r="1146" spans="1:9" x14ac:dyDescent="0.25">
      <c r="A1146" s="20">
        <v>41939</v>
      </c>
      <c r="B1146" s="1">
        <v>0.8125</v>
      </c>
      <c r="C1146" s="1">
        <v>0.94374999999999998</v>
      </c>
      <c r="D1146" s="4">
        <v>3.125E-2</v>
      </c>
      <c r="E1146" s="21">
        <f t="shared" si="21"/>
        <v>0.10833333333333331</v>
      </c>
      <c r="F1146" s="27"/>
      <c r="G1146" s="3" t="s">
        <v>306</v>
      </c>
      <c r="I1146" s="3" t="s">
        <v>308</v>
      </c>
    </row>
    <row r="1147" spans="1:9" x14ac:dyDescent="0.25">
      <c r="E1147" s="21">
        <f t="shared" si="21"/>
        <v>0</v>
      </c>
    </row>
    <row r="1148" spans="1:9" ht="12.75" customHeight="1" x14ac:dyDescent="0.25">
      <c r="A1148" s="20">
        <v>41940</v>
      </c>
      <c r="B1148" s="1">
        <v>0.83333333333333337</v>
      </c>
      <c r="C1148" s="1">
        <v>0.84375</v>
      </c>
      <c r="E1148" s="21">
        <f t="shared" si="21"/>
        <v>1.041666666666663E-2</v>
      </c>
      <c r="G1148" s="3" t="s">
        <v>331</v>
      </c>
      <c r="H1148" s="3" t="s">
        <v>438</v>
      </c>
      <c r="I1148" s="7" t="s">
        <v>335</v>
      </c>
    </row>
    <row r="1149" spans="1:9" x14ac:dyDescent="0.25">
      <c r="E1149" s="21">
        <f t="shared" si="21"/>
        <v>0</v>
      </c>
    </row>
    <row r="1150" spans="1:9" x14ac:dyDescent="0.25">
      <c r="A1150" s="20">
        <v>41941</v>
      </c>
      <c r="B1150" s="1">
        <v>0.45694444444444443</v>
      </c>
      <c r="C1150" s="1">
        <v>0.49791666666666662</v>
      </c>
      <c r="E1150" s="21">
        <f t="shared" ref="E1150:E1151" si="23">IF(D1150&lt;(12/1440),C1150-B1150,C1150-B1150-D1150+(12/1440))</f>
        <v>4.0972222222222188E-2</v>
      </c>
      <c r="G1150" s="3" t="s">
        <v>331</v>
      </c>
      <c r="H1150" s="3" t="s">
        <v>438</v>
      </c>
      <c r="I1150" s="7" t="s">
        <v>335</v>
      </c>
    </row>
    <row r="1151" spans="1:9" x14ac:dyDescent="0.25">
      <c r="A1151" s="20">
        <v>41941</v>
      </c>
      <c r="B1151" s="1">
        <v>0.62152777777777779</v>
      </c>
      <c r="C1151" s="1">
        <v>0.67708333333333337</v>
      </c>
      <c r="D1151" s="4">
        <v>1.5277777777777777E-2</v>
      </c>
      <c r="E1151" s="21">
        <f t="shared" si="23"/>
        <v>4.8611111111111133E-2</v>
      </c>
      <c r="G1151" s="3" t="s">
        <v>331</v>
      </c>
      <c r="H1151" s="3" t="s">
        <v>438</v>
      </c>
      <c r="I1151" s="7" t="s">
        <v>335</v>
      </c>
    </row>
    <row r="1152" spans="1:9" x14ac:dyDescent="0.25">
      <c r="A1152" s="20">
        <v>41941</v>
      </c>
      <c r="B1152" s="1">
        <v>0.90625</v>
      </c>
      <c r="C1152" s="1">
        <v>0.98125000000000007</v>
      </c>
      <c r="D1152" s="4">
        <v>1.3888888888888888E-2</v>
      </c>
      <c r="E1152" s="21">
        <f t="shared" ref="E1152" si="24">IF(D1152&lt;(12/1440),C1152-B1152,C1152-B1152-D1152+(12/1440))</f>
        <v>6.9444444444444517E-2</v>
      </c>
      <c r="G1152" s="3" t="s">
        <v>331</v>
      </c>
      <c r="H1152" s="3" t="s">
        <v>438</v>
      </c>
      <c r="I1152" s="7" t="s">
        <v>335</v>
      </c>
    </row>
    <row r="1154" spans="1:11" x14ac:dyDescent="0.25">
      <c r="A1154" s="20">
        <v>41942</v>
      </c>
      <c r="B1154" s="1">
        <v>0.4375</v>
      </c>
      <c r="C1154" s="1">
        <v>0.45416666666666666</v>
      </c>
      <c r="E1154" s="21">
        <f t="shared" ref="E1154:E1155" si="25">IF(D1154&lt;(12/1440),C1154-B1154,C1154-B1154-D1154+(12/1440))</f>
        <v>1.6666666666666663E-2</v>
      </c>
      <c r="G1154" s="3" t="s">
        <v>331</v>
      </c>
      <c r="H1154" s="3" t="s">
        <v>438</v>
      </c>
      <c r="I1154" s="7" t="s">
        <v>335</v>
      </c>
    </row>
    <row r="1155" spans="1:11" x14ac:dyDescent="0.25">
      <c r="A1155" s="20">
        <v>41942</v>
      </c>
      <c r="B1155" s="1">
        <v>0.85972222222222217</v>
      </c>
      <c r="C1155" s="1">
        <v>0.92708333333333337</v>
      </c>
      <c r="E1155" s="21">
        <f t="shared" si="25"/>
        <v>6.7361111111111205E-2</v>
      </c>
      <c r="F1155" s="27"/>
      <c r="G1155" s="3" t="s">
        <v>306</v>
      </c>
      <c r="I1155" s="3" t="s">
        <v>308</v>
      </c>
    </row>
    <row r="1157" spans="1:11" x14ac:dyDescent="0.25">
      <c r="A1157" s="20">
        <v>41943</v>
      </c>
      <c r="B1157" s="1">
        <v>0.44791666666666669</v>
      </c>
      <c r="C1157" s="1">
        <v>0.47222222222222227</v>
      </c>
      <c r="E1157" s="21">
        <f t="shared" ref="E1157:E1158" si="26">IF(D1157&lt;(12/1440),C1157-B1157,C1157-B1157-D1157+(12/1440))</f>
        <v>2.430555555555558E-2</v>
      </c>
      <c r="F1157" s="27"/>
      <c r="G1157" s="3" t="s">
        <v>306</v>
      </c>
      <c r="I1157" s="3" t="s">
        <v>308</v>
      </c>
    </row>
    <row r="1158" spans="1:11" x14ac:dyDescent="0.25">
      <c r="A1158" s="20">
        <v>41943</v>
      </c>
      <c r="B1158" s="1">
        <v>0.57986111111111105</v>
      </c>
      <c r="C1158" s="1">
        <v>0.65625</v>
      </c>
      <c r="E1158" s="21">
        <f t="shared" si="26"/>
        <v>7.6388888888888951E-2</v>
      </c>
      <c r="G1158" s="3" t="s">
        <v>119</v>
      </c>
      <c r="I1158" s="3" t="s">
        <v>447</v>
      </c>
    </row>
    <row r="1160" spans="1:11" x14ac:dyDescent="0.25">
      <c r="A1160" s="20">
        <v>41945</v>
      </c>
      <c r="B1160" s="1">
        <v>0.76944444444444438</v>
      </c>
      <c r="C1160" s="1">
        <v>0.7993055555555556</v>
      </c>
      <c r="E1160" s="21">
        <f t="shared" ref="E1160" si="27">IF(D1160&lt;(12/1440),C1160-B1160,C1160-B1160-D1160+(12/1440))</f>
        <v>2.9861111111111227E-2</v>
      </c>
      <c r="F1160" s="25">
        <f>SUM(E1160:E1194)</f>
        <v>1.9104166666666669</v>
      </c>
      <c r="G1160" s="3" t="s">
        <v>306</v>
      </c>
      <c r="I1160" s="3" t="s">
        <v>308</v>
      </c>
    </row>
    <row r="1161" spans="1:11" x14ac:dyDescent="0.25">
      <c r="A1161" s="20">
        <v>41945</v>
      </c>
      <c r="B1161" s="1">
        <v>0.81527777777777777</v>
      </c>
      <c r="C1161" s="1">
        <v>0.86875000000000002</v>
      </c>
      <c r="D1161" s="4">
        <v>9.0277777777777787E-3</v>
      </c>
      <c r="E1161" s="21">
        <f t="shared" ref="E1161:E1168" si="28">IF(D1161&lt;(12/1440),C1161-B1161,C1161-B1161-D1161+(12/1440))</f>
        <v>5.2777777777777805E-2</v>
      </c>
      <c r="G1161" s="3" t="s">
        <v>306</v>
      </c>
      <c r="I1161" s="3" t="s">
        <v>308</v>
      </c>
    </row>
    <row r="1162" spans="1:11" x14ac:dyDescent="0.25">
      <c r="A1162" s="20">
        <v>41945</v>
      </c>
      <c r="B1162" s="1">
        <f>C1161</f>
        <v>0.86875000000000002</v>
      </c>
      <c r="C1162" s="1">
        <v>0.87638888888888899</v>
      </c>
      <c r="E1162" s="21">
        <f t="shared" si="28"/>
        <v>7.6388888888889728E-3</v>
      </c>
      <c r="G1162" s="9" t="s">
        <v>239</v>
      </c>
      <c r="H1162" s="9"/>
      <c r="I1162" s="7" t="s">
        <v>231</v>
      </c>
      <c r="K1162" s="2" t="s">
        <v>448</v>
      </c>
    </row>
    <row r="1163" spans="1:11" x14ac:dyDescent="0.25">
      <c r="A1163" s="20">
        <v>41945</v>
      </c>
      <c r="B1163" s="1">
        <v>0.88888888888888884</v>
      </c>
      <c r="C1163" s="1">
        <v>0.9159722222222223</v>
      </c>
      <c r="E1163" s="21">
        <f t="shared" si="28"/>
        <v>2.7083333333333459E-2</v>
      </c>
      <c r="F1163" s="26"/>
      <c r="G1163" s="3" t="s">
        <v>331</v>
      </c>
      <c r="H1163" s="3" t="s">
        <v>438</v>
      </c>
      <c r="I1163" s="7" t="s">
        <v>335</v>
      </c>
    </row>
    <row r="1164" spans="1:11" x14ac:dyDescent="0.25">
      <c r="F1164" s="27"/>
    </row>
    <row r="1165" spans="1:11" x14ac:dyDescent="0.25">
      <c r="A1165" s="20">
        <v>41946</v>
      </c>
      <c r="B1165" s="1">
        <v>0.42708333333333331</v>
      </c>
      <c r="C1165" s="1">
        <v>0.4597222222222222</v>
      </c>
      <c r="E1165" s="21">
        <f t="shared" si="28"/>
        <v>3.2638888888888884E-2</v>
      </c>
      <c r="F1165" s="28"/>
      <c r="G1165" s="9" t="s">
        <v>241</v>
      </c>
      <c r="H1165" s="9"/>
      <c r="I1165" s="7" t="s">
        <v>233</v>
      </c>
      <c r="K1165" s="2" t="s">
        <v>449</v>
      </c>
    </row>
    <row r="1166" spans="1:11" x14ac:dyDescent="0.25">
      <c r="A1166" s="20">
        <v>41946</v>
      </c>
      <c r="B1166" s="1">
        <v>0.4861111111111111</v>
      </c>
      <c r="C1166" s="1">
        <v>0.52430555555555558</v>
      </c>
      <c r="E1166" s="21">
        <f t="shared" si="28"/>
        <v>3.8194444444444475E-2</v>
      </c>
      <c r="G1166" s="3" t="s">
        <v>306</v>
      </c>
      <c r="I1166" s="3" t="s">
        <v>308</v>
      </c>
    </row>
    <row r="1167" spans="1:11" x14ac:dyDescent="0.25">
      <c r="A1167" s="20">
        <v>41946</v>
      </c>
      <c r="B1167" s="1">
        <v>0.54097222222222219</v>
      </c>
      <c r="C1167" s="1">
        <v>0.63888888888888895</v>
      </c>
      <c r="E1167" s="21">
        <f t="shared" si="28"/>
        <v>9.7916666666666763E-2</v>
      </c>
      <c r="G1167" s="3" t="s">
        <v>306</v>
      </c>
      <c r="I1167" s="3" t="s">
        <v>308</v>
      </c>
    </row>
    <row r="1168" spans="1:11" x14ac:dyDescent="0.25">
      <c r="A1168" s="20">
        <v>41946</v>
      </c>
      <c r="B1168" s="1">
        <f>C1167</f>
        <v>0.63888888888888895</v>
      </c>
      <c r="C1168" s="1">
        <v>0.65277777777777779</v>
      </c>
      <c r="E1168" s="21">
        <f t="shared" si="28"/>
        <v>1.388888888888884E-2</v>
      </c>
      <c r="F1168" s="28"/>
      <c r="G1168" s="3" t="s">
        <v>331</v>
      </c>
      <c r="H1168" s="3" t="s">
        <v>438</v>
      </c>
      <c r="I1168" s="7" t="s">
        <v>335</v>
      </c>
    </row>
    <row r="1169" spans="1:11" x14ac:dyDescent="0.25">
      <c r="A1169" s="20">
        <v>41946</v>
      </c>
      <c r="B1169" s="1">
        <v>0.65833333333333333</v>
      </c>
      <c r="C1169" s="1">
        <v>0.6972222222222223</v>
      </c>
      <c r="E1169" s="21">
        <f t="shared" ref="E1169:E1172" si="29">IF(D1169&lt;(12/1440),C1169-B1169,C1169-B1169-D1169+(12/1440))</f>
        <v>3.8888888888888973E-2</v>
      </c>
      <c r="G1169" s="3" t="s">
        <v>306</v>
      </c>
      <c r="I1169" s="3" t="s">
        <v>308</v>
      </c>
    </row>
    <row r="1171" spans="1:11" x14ac:dyDescent="0.25">
      <c r="A1171" s="20">
        <v>41947</v>
      </c>
      <c r="B1171" s="1">
        <v>0.43124999999999997</v>
      </c>
      <c r="C1171" s="1">
        <v>0.44166666666666665</v>
      </c>
      <c r="E1171" s="21">
        <f t="shared" ref="E1171" si="30">IF(D1171&lt;(12/1440),C1171-B1171,C1171-B1171-D1171+(12/1440))</f>
        <v>1.0416666666666685E-2</v>
      </c>
      <c r="F1171" s="28"/>
      <c r="G1171" s="9" t="s">
        <v>241</v>
      </c>
      <c r="H1171" s="9"/>
      <c r="I1171" s="7" t="s">
        <v>233</v>
      </c>
      <c r="K1171" s="2" t="s">
        <v>450</v>
      </c>
    </row>
    <row r="1172" spans="1:11" x14ac:dyDescent="0.25">
      <c r="A1172" s="20">
        <v>41947</v>
      </c>
      <c r="B1172" s="1">
        <v>0.45624999999999999</v>
      </c>
      <c r="C1172" s="1">
        <v>0.52222222222222225</v>
      </c>
      <c r="E1172" s="21">
        <f t="shared" si="29"/>
        <v>6.5972222222222265E-2</v>
      </c>
      <c r="F1172" s="26"/>
      <c r="G1172" s="3" t="s">
        <v>306</v>
      </c>
      <c r="I1172" s="3" t="s">
        <v>308</v>
      </c>
    </row>
    <row r="1173" spans="1:11" x14ac:dyDescent="0.25">
      <c r="A1173" s="20">
        <v>41947</v>
      </c>
      <c r="B1173" s="1">
        <v>0.55833333333333335</v>
      </c>
      <c r="C1173" s="1">
        <v>0.74236111111111114</v>
      </c>
      <c r="D1173" s="4">
        <v>1.3194444444444444E-2</v>
      </c>
      <c r="E1173" s="21">
        <f t="shared" ref="E1173" si="31">IF(D1173&lt;(12/1440),C1173-B1173,C1173-B1173-D1173+(12/1440))</f>
        <v>0.17916666666666667</v>
      </c>
      <c r="F1173" s="26"/>
      <c r="G1173" s="3" t="s">
        <v>306</v>
      </c>
      <c r="I1173" s="3" t="s">
        <v>308</v>
      </c>
    </row>
    <row r="1174" spans="1:11" x14ac:dyDescent="0.25">
      <c r="A1174" s="20">
        <v>41947</v>
      </c>
      <c r="B1174" s="1">
        <v>0.81805555555555554</v>
      </c>
      <c r="C1174" s="1">
        <v>0.91111111111111109</v>
      </c>
      <c r="E1174" s="21">
        <f t="shared" ref="E1174" si="32">IF(D1174&lt;(12/1440),C1174-B1174,C1174-B1174-D1174+(12/1440))</f>
        <v>9.3055555555555558E-2</v>
      </c>
      <c r="F1174" s="26"/>
      <c r="G1174" s="3" t="s">
        <v>306</v>
      </c>
      <c r="I1174" s="3" t="s">
        <v>308</v>
      </c>
    </row>
    <row r="1176" spans="1:11" x14ac:dyDescent="0.25">
      <c r="A1176" s="20">
        <v>41948</v>
      </c>
      <c r="B1176" s="1">
        <v>0.59930555555555554</v>
      </c>
      <c r="C1176" s="1">
        <v>0.65138888888888891</v>
      </c>
      <c r="D1176" s="4">
        <v>2.7777777777777776E-2</v>
      </c>
      <c r="E1176" s="21">
        <f t="shared" ref="E1176" si="33">IF(D1176&lt;(12/1440),C1176-B1176,C1176-B1176-D1176+(12/1440))</f>
        <v>3.2638888888888926E-2</v>
      </c>
      <c r="F1176" s="28"/>
      <c r="G1176" s="3" t="s">
        <v>331</v>
      </c>
      <c r="H1176" s="3" t="s">
        <v>438</v>
      </c>
      <c r="I1176" s="7" t="s">
        <v>335</v>
      </c>
      <c r="K1176" s="41" t="s">
        <v>451</v>
      </c>
    </row>
    <row r="1177" spans="1:11" x14ac:dyDescent="0.25">
      <c r="A1177" s="20">
        <v>41948</v>
      </c>
      <c r="B1177" s="1">
        <v>0.69236111111111109</v>
      </c>
      <c r="C1177" s="1">
        <v>0.70000000000000007</v>
      </c>
      <c r="E1177" s="21">
        <f t="shared" ref="E1177:E1178" si="34">IF(D1177&lt;(12/1440),C1177-B1177,C1177-B1177-D1177+(12/1440))</f>
        <v>7.6388888888889728E-3</v>
      </c>
      <c r="F1177" s="28"/>
      <c r="G1177" s="3" t="s">
        <v>331</v>
      </c>
      <c r="H1177" s="3" t="s">
        <v>438</v>
      </c>
      <c r="I1177" s="7" t="s">
        <v>335</v>
      </c>
    </row>
    <row r="1178" spans="1:11" x14ac:dyDescent="0.25">
      <c r="A1178" s="20">
        <v>41948</v>
      </c>
      <c r="B1178" s="1">
        <f>C1177</f>
        <v>0.70000000000000007</v>
      </c>
      <c r="C1178" s="1">
        <v>0.73611111111111116</v>
      </c>
      <c r="E1178" s="21">
        <f t="shared" si="34"/>
        <v>3.6111111111111094E-2</v>
      </c>
      <c r="G1178" s="9" t="s">
        <v>453</v>
      </c>
      <c r="I1178" s="7" t="s">
        <v>455</v>
      </c>
    </row>
    <row r="1179" spans="1:11" x14ac:dyDescent="0.25">
      <c r="A1179" s="20">
        <v>41948</v>
      </c>
      <c r="B1179" s="1">
        <v>0.76527777777777783</v>
      </c>
      <c r="C1179" s="1">
        <v>0.77083333333333337</v>
      </c>
      <c r="E1179" s="21">
        <f t="shared" ref="E1179:E1180" si="35">IF(D1179&lt;(12/1440),C1179-B1179,C1179-B1179-D1179+(12/1440))</f>
        <v>5.5555555555555358E-3</v>
      </c>
      <c r="G1179" s="9" t="s">
        <v>453</v>
      </c>
      <c r="I1179" s="7" t="s">
        <v>455</v>
      </c>
    </row>
    <row r="1180" spans="1:11" x14ac:dyDescent="0.25">
      <c r="A1180" s="20">
        <v>41948</v>
      </c>
      <c r="B1180" s="1">
        <v>0.7993055555555556</v>
      </c>
      <c r="C1180" s="1">
        <v>0.82847222222222217</v>
      </c>
      <c r="E1180" s="21">
        <f t="shared" si="35"/>
        <v>2.9166666666666563E-2</v>
      </c>
      <c r="G1180" s="9" t="s">
        <v>453</v>
      </c>
      <c r="I1180" s="7" t="s">
        <v>455</v>
      </c>
    </row>
    <row r="1181" spans="1:11" x14ac:dyDescent="0.25">
      <c r="A1181" s="20">
        <v>41948</v>
      </c>
      <c r="B1181" s="1">
        <v>0.84652777777777777</v>
      </c>
      <c r="C1181" s="1">
        <v>0.99930555555555556</v>
      </c>
      <c r="E1181" s="21">
        <f t="shared" ref="E1181" si="36">IF(D1181&lt;(12/1440),C1181-B1181,C1181-B1181-D1181+(12/1440))</f>
        <v>0.15277777777777779</v>
      </c>
      <c r="G1181" s="9" t="s">
        <v>453</v>
      </c>
      <c r="I1181" s="7" t="s">
        <v>455</v>
      </c>
      <c r="K1181" s="8" t="s">
        <v>456</v>
      </c>
    </row>
    <row r="1183" spans="1:11" x14ac:dyDescent="0.25">
      <c r="A1183" s="20">
        <v>41949</v>
      </c>
      <c r="B1183" s="1">
        <v>0.18402777777777779</v>
      </c>
      <c r="C1183" s="1">
        <v>0.23680555555555557</v>
      </c>
      <c r="E1183" s="21">
        <f t="shared" ref="E1183:E1184" si="37">IF(D1183&lt;(12/1440),C1183-B1183,C1183-B1183-D1183+(12/1440))</f>
        <v>5.2777777777777785E-2</v>
      </c>
      <c r="F1183" s="26"/>
      <c r="G1183" s="3" t="s">
        <v>306</v>
      </c>
      <c r="I1183" s="3" t="s">
        <v>308</v>
      </c>
    </row>
    <row r="1184" spans="1:11" x14ac:dyDescent="0.25">
      <c r="A1184" s="20">
        <v>41949</v>
      </c>
      <c r="B1184" s="1">
        <v>0.40069444444444446</v>
      </c>
      <c r="C1184" s="1">
        <v>0.52777777777777779</v>
      </c>
      <c r="D1184" s="4">
        <v>3.888888888888889E-2</v>
      </c>
      <c r="E1184" s="21">
        <f t="shared" si="37"/>
        <v>9.6527777777777768E-2</v>
      </c>
      <c r="F1184" s="27"/>
      <c r="G1184" s="9" t="s">
        <v>453</v>
      </c>
      <c r="I1184" s="7" t="s">
        <v>455</v>
      </c>
    </row>
    <row r="1185" spans="1:11" x14ac:dyDescent="0.25">
      <c r="A1185" s="20">
        <v>41949</v>
      </c>
      <c r="B1185" s="1">
        <v>0.57500000000000007</v>
      </c>
      <c r="C1185" s="1">
        <v>0.68680555555555556</v>
      </c>
      <c r="D1185" s="4">
        <v>4.1666666666666666E-3</v>
      </c>
      <c r="E1185" s="21">
        <f t="shared" ref="E1185" si="38">IF(D1185&lt;(12/1440),C1185-B1185,C1185-B1185-D1185+(12/1440))</f>
        <v>0.11180555555555549</v>
      </c>
      <c r="F1185" s="27"/>
      <c r="G1185" s="9" t="s">
        <v>453</v>
      </c>
      <c r="I1185" s="7" t="s">
        <v>455</v>
      </c>
    </row>
    <row r="1186" spans="1:11" x14ac:dyDescent="0.25">
      <c r="A1186" s="20">
        <v>41949</v>
      </c>
      <c r="B1186" s="1">
        <v>0.80208333333333337</v>
      </c>
      <c r="C1186" s="1">
        <v>0.94513888888888886</v>
      </c>
      <c r="E1186" s="21">
        <f t="shared" ref="E1186" si="39">IF(D1186&lt;(12/1440),C1186-B1186,C1186-B1186-D1186+(12/1440))</f>
        <v>0.14305555555555549</v>
      </c>
      <c r="F1186" s="27"/>
      <c r="G1186" s="9" t="s">
        <v>453</v>
      </c>
      <c r="I1186" s="7" t="s">
        <v>455</v>
      </c>
    </row>
    <row r="1187" spans="1:11" x14ac:dyDescent="0.25">
      <c r="F1187" s="27"/>
      <c r="G1187" s="9"/>
      <c r="I1187" s="7"/>
    </row>
    <row r="1188" spans="1:11" x14ac:dyDescent="0.25">
      <c r="A1188" s="20">
        <v>41950</v>
      </c>
      <c r="B1188" s="1">
        <v>0.36458333333333331</v>
      </c>
      <c r="C1188" s="1">
        <v>0.375</v>
      </c>
      <c r="E1188" s="21">
        <f t="shared" ref="E1188:E1189" si="40">IF(D1188&lt;(12/1440),C1188-B1188,C1188-B1188-D1188+(12/1440))</f>
        <v>1.0416666666666685E-2</v>
      </c>
      <c r="F1188" s="27"/>
      <c r="G1188" s="9" t="s">
        <v>453</v>
      </c>
      <c r="I1188" s="7" t="s">
        <v>455</v>
      </c>
    </row>
    <row r="1189" spans="1:11" x14ac:dyDescent="0.25">
      <c r="A1189" s="20">
        <v>41950</v>
      </c>
      <c r="B1189" s="1">
        <v>0.4458333333333333</v>
      </c>
      <c r="C1189" s="1">
        <v>0.49513888888888885</v>
      </c>
      <c r="E1189" s="21">
        <f t="shared" si="40"/>
        <v>4.9305555555555547E-2</v>
      </c>
      <c r="F1189" s="27"/>
      <c r="G1189" s="9" t="s">
        <v>453</v>
      </c>
      <c r="I1189" s="7" t="s">
        <v>455</v>
      </c>
      <c r="K1189" s="2" t="s">
        <v>457</v>
      </c>
    </row>
    <row r="1190" spans="1:11" x14ac:dyDescent="0.25">
      <c r="A1190" s="20">
        <v>41950</v>
      </c>
      <c r="B1190" s="1">
        <f>C1189</f>
        <v>0.49513888888888885</v>
      </c>
      <c r="C1190" s="1">
        <v>0.52638888888888891</v>
      </c>
      <c r="E1190" s="21">
        <f t="shared" ref="E1190" si="41">IF(D1190&lt;(12/1440),C1190-B1190,C1190-B1190-D1190+(12/1440))</f>
        <v>3.1250000000000056E-2</v>
      </c>
      <c r="F1190" s="27"/>
      <c r="G1190" s="9" t="s">
        <v>453</v>
      </c>
      <c r="I1190" s="7" t="s">
        <v>455</v>
      </c>
    </row>
    <row r="1191" spans="1:11" x14ac:dyDescent="0.25">
      <c r="A1191" s="20">
        <v>41950</v>
      </c>
      <c r="B1191" s="1">
        <v>0.55625000000000002</v>
      </c>
      <c r="C1191" s="1">
        <v>0.68333333333333324</v>
      </c>
      <c r="D1191" s="4">
        <v>4.1666666666666666E-3</v>
      </c>
      <c r="E1191" s="21">
        <f t="shared" ref="E1191:E1198" si="42">IF(D1191&lt;(12/1440),C1191-B1191,C1191-B1191-D1191+(12/1440))</f>
        <v>0.12708333333333321</v>
      </c>
      <c r="F1191" s="27"/>
      <c r="G1191" s="9" t="s">
        <v>453</v>
      </c>
      <c r="I1191" s="7" t="s">
        <v>455</v>
      </c>
    </row>
    <row r="1192" spans="1:11" x14ac:dyDescent="0.25">
      <c r="F1192" s="27"/>
      <c r="G1192" s="9"/>
      <c r="I1192" s="7"/>
    </row>
    <row r="1193" spans="1:11" x14ac:dyDescent="0.25">
      <c r="A1193" s="20">
        <v>41951</v>
      </c>
      <c r="B1193" s="1">
        <v>0.30555555555555552</v>
      </c>
      <c r="C1193" s="1">
        <v>0.49652777777777773</v>
      </c>
      <c r="E1193" s="21">
        <f t="shared" si="42"/>
        <v>0.19097222222222221</v>
      </c>
      <c r="F1193" s="27"/>
      <c r="G1193" s="9" t="s">
        <v>313</v>
      </c>
      <c r="H1193" s="9"/>
      <c r="I1193" s="7" t="s">
        <v>321</v>
      </c>
      <c r="K1193" s="2" t="s">
        <v>458</v>
      </c>
    </row>
    <row r="1194" spans="1:11" x14ac:dyDescent="0.25">
      <c r="A1194" s="20">
        <v>41951</v>
      </c>
      <c r="B1194" s="1">
        <v>0.53819444444444442</v>
      </c>
      <c r="C1194" s="1">
        <v>0.68402777777777779</v>
      </c>
      <c r="E1194" s="21">
        <f t="shared" si="42"/>
        <v>0.14583333333333337</v>
      </c>
      <c r="F1194" s="27"/>
      <c r="G1194" s="9" t="s">
        <v>313</v>
      </c>
      <c r="H1194" s="9"/>
      <c r="I1194" s="7" t="s">
        <v>321</v>
      </c>
      <c r="K1194" s="2" t="s">
        <v>458</v>
      </c>
    </row>
    <row r="1195" spans="1:11" x14ac:dyDescent="0.25">
      <c r="F1195" s="27"/>
      <c r="G1195" s="9"/>
      <c r="H1195" s="9"/>
      <c r="I1195" s="7"/>
    </row>
    <row r="1196" spans="1:11" x14ac:dyDescent="0.25">
      <c r="A1196" s="20">
        <v>41952</v>
      </c>
      <c r="B1196" s="1">
        <v>0.79166666666666663</v>
      </c>
      <c r="C1196" s="1">
        <v>0.875</v>
      </c>
      <c r="E1196" s="21">
        <f t="shared" si="42"/>
        <v>8.333333333333337E-2</v>
      </c>
      <c r="F1196" s="25">
        <f>SUM(E1196:E1228)</f>
        <v>1.1395833333333334</v>
      </c>
      <c r="G1196" s="3" t="s">
        <v>306</v>
      </c>
      <c r="I1196" s="3" t="s">
        <v>308</v>
      </c>
      <c r="K1196" s="2" t="s">
        <v>459</v>
      </c>
    </row>
    <row r="1198" spans="1:11" x14ac:dyDescent="0.25">
      <c r="A1198" s="20">
        <v>41953</v>
      </c>
      <c r="B1198" s="1">
        <v>0.39097222222222222</v>
      </c>
      <c r="C1198" s="1">
        <v>0.44791666666666669</v>
      </c>
      <c r="D1198" s="4">
        <v>1.7361111111111112E-2</v>
      </c>
      <c r="E1198" s="21">
        <f t="shared" si="42"/>
        <v>4.7916666666666684E-2</v>
      </c>
      <c r="G1198" s="3" t="s">
        <v>306</v>
      </c>
      <c r="I1198" s="3" t="s">
        <v>308</v>
      </c>
    </row>
    <row r="1199" spans="1:11" x14ac:dyDescent="0.25">
      <c r="A1199" s="20">
        <v>41953</v>
      </c>
      <c r="B1199" s="1">
        <v>0.4861111111111111</v>
      </c>
      <c r="C1199" s="1">
        <v>0.52986111111111112</v>
      </c>
      <c r="E1199" s="21">
        <f t="shared" ref="E1199" si="43">IF(D1199&lt;(12/1440),C1199-B1199,C1199-B1199-D1199+(12/1440))</f>
        <v>4.3750000000000011E-2</v>
      </c>
      <c r="G1199" s="3" t="s">
        <v>306</v>
      </c>
      <c r="I1199" s="3" t="s">
        <v>308</v>
      </c>
    </row>
    <row r="1200" spans="1:11" x14ac:dyDescent="0.25">
      <c r="A1200" s="20">
        <v>41953</v>
      </c>
      <c r="B1200" s="1">
        <v>0.55972222222222223</v>
      </c>
      <c r="C1200" s="1">
        <v>0.60347222222222219</v>
      </c>
      <c r="E1200" s="21">
        <f t="shared" ref="E1200:E1201" si="44">IF(D1200&lt;(12/1440),C1200-B1200,C1200-B1200-D1200+(12/1440))</f>
        <v>4.3749999999999956E-2</v>
      </c>
      <c r="G1200" s="3" t="s">
        <v>306</v>
      </c>
      <c r="I1200" s="3" t="s">
        <v>308</v>
      </c>
    </row>
    <row r="1201" spans="1:11" x14ac:dyDescent="0.25">
      <c r="A1201" s="20">
        <v>41953</v>
      </c>
      <c r="B1201" s="1">
        <v>0.60625000000000007</v>
      </c>
      <c r="C1201" s="1">
        <v>0.64444444444444449</v>
      </c>
      <c r="E1201" s="21">
        <f t="shared" si="44"/>
        <v>3.819444444444442E-2</v>
      </c>
      <c r="G1201" s="3" t="s">
        <v>460</v>
      </c>
      <c r="H1201" s="3" t="s">
        <v>438</v>
      </c>
      <c r="I1201" s="7" t="s">
        <v>461</v>
      </c>
    </row>
    <row r="1203" spans="1:11" x14ac:dyDescent="0.25">
      <c r="A1203" s="20">
        <v>41954</v>
      </c>
      <c r="B1203" s="1">
        <v>0.35833333333333334</v>
      </c>
      <c r="C1203" s="1">
        <v>0.47986111111111113</v>
      </c>
      <c r="D1203" s="4">
        <v>8.3333333333333332E-3</v>
      </c>
      <c r="E1203" s="21">
        <f t="shared" ref="E1203" si="45">IF(D1203&lt;(12/1440),C1203-B1203,C1203-B1203-D1203+(12/1440))</f>
        <v>0.12152777777777779</v>
      </c>
      <c r="G1203" s="3" t="s">
        <v>306</v>
      </c>
      <c r="I1203" s="3" t="s">
        <v>308</v>
      </c>
    </row>
    <row r="1204" spans="1:11" x14ac:dyDescent="0.25">
      <c r="A1204" s="20">
        <v>41954</v>
      </c>
      <c r="B1204" s="1">
        <v>0.5229166666666667</v>
      </c>
      <c r="C1204" s="1">
        <v>0.55138888888888882</v>
      </c>
      <c r="E1204" s="21">
        <f t="shared" ref="E1204:E1205" si="46">IF(D1204&lt;(12/1440),C1204-B1204,C1204-B1204-D1204+(12/1440))</f>
        <v>2.8472222222222121E-2</v>
      </c>
      <c r="G1204" s="3" t="s">
        <v>306</v>
      </c>
      <c r="I1204" s="3" t="s">
        <v>308</v>
      </c>
      <c r="K1204" s="2" t="s">
        <v>462</v>
      </c>
    </row>
    <row r="1205" spans="1:11" x14ac:dyDescent="0.25">
      <c r="A1205" s="20">
        <v>41954</v>
      </c>
      <c r="B1205" s="1">
        <f>C1204</f>
        <v>0.55138888888888882</v>
      </c>
      <c r="C1205" s="1">
        <v>0.58958333333333335</v>
      </c>
      <c r="E1205" s="21">
        <f t="shared" si="46"/>
        <v>3.8194444444444531E-2</v>
      </c>
      <c r="G1205" s="3" t="s">
        <v>351</v>
      </c>
      <c r="H1205" s="3" t="s">
        <v>438</v>
      </c>
      <c r="I1205" s="7" t="s">
        <v>354</v>
      </c>
    </row>
    <row r="1206" spans="1:11" x14ac:dyDescent="0.25">
      <c r="A1206" s="20">
        <v>41954</v>
      </c>
      <c r="B1206" s="1">
        <f>C1205</f>
        <v>0.58958333333333335</v>
      </c>
      <c r="C1206" s="1">
        <v>0.60347222222222219</v>
      </c>
      <c r="E1206" s="21">
        <f t="shared" ref="E1206:E1207" si="47">IF(D1206&lt;(12/1440),C1206-B1206,C1206-B1206-D1206+(12/1440))</f>
        <v>1.388888888888884E-2</v>
      </c>
      <c r="G1206" s="3" t="s">
        <v>306</v>
      </c>
      <c r="I1206" s="3" t="s">
        <v>308</v>
      </c>
      <c r="K1206" s="2" t="s">
        <v>462</v>
      </c>
    </row>
    <row r="1207" spans="1:11" x14ac:dyDescent="0.25">
      <c r="A1207" s="20">
        <v>41954</v>
      </c>
      <c r="B1207" s="1">
        <f>C1206</f>
        <v>0.60347222222222219</v>
      </c>
      <c r="C1207" s="1">
        <v>0.6743055555555556</v>
      </c>
      <c r="D1207" s="4">
        <v>1.4583333333333332E-2</v>
      </c>
      <c r="E1207" s="21">
        <f t="shared" si="47"/>
        <v>6.4583333333333423E-2</v>
      </c>
      <c r="G1207" s="9" t="s">
        <v>463</v>
      </c>
      <c r="H1207" s="9"/>
      <c r="I1207" s="7" t="s">
        <v>464</v>
      </c>
      <c r="K1207" s="2" t="s">
        <v>465</v>
      </c>
    </row>
    <row r="1208" spans="1:11" x14ac:dyDescent="0.25">
      <c r="A1208" s="20">
        <v>41954</v>
      </c>
      <c r="B1208" s="1">
        <f>C1207</f>
        <v>0.6743055555555556</v>
      </c>
      <c r="C1208" s="1">
        <v>0.76250000000000007</v>
      </c>
      <c r="E1208" s="21">
        <f t="shared" ref="E1208:E1212" si="48">IF(D1208&lt;(12/1440),C1208-B1208,C1208-B1208-D1208+(12/1440))</f>
        <v>8.8194444444444464E-2</v>
      </c>
      <c r="G1208" s="3" t="s">
        <v>306</v>
      </c>
      <c r="I1208" s="3" t="s">
        <v>308</v>
      </c>
      <c r="K1208" s="2" t="s">
        <v>466</v>
      </c>
    </row>
    <row r="1209" spans="1:11" x14ac:dyDescent="0.25">
      <c r="A1209" s="20">
        <v>41954</v>
      </c>
      <c r="B1209" s="1">
        <f>C1208</f>
        <v>0.76250000000000007</v>
      </c>
      <c r="C1209" s="1">
        <v>0.80208333333333337</v>
      </c>
      <c r="E1209" s="21">
        <f t="shared" si="48"/>
        <v>3.9583333333333304E-2</v>
      </c>
      <c r="F1209" s="27"/>
      <c r="G1209" s="9" t="s">
        <v>463</v>
      </c>
      <c r="H1209" s="9"/>
      <c r="I1209" s="7" t="s">
        <v>464</v>
      </c>
      <c r="K1209" s="2" t="s">
        <v>467</v>
      </c>
    </row>
    <row r="1211" spans="1:11" x14ac:dyDescent="0.25">
      <c r="A1211" s="20">
        <v>41955</v>
      </c>
      <c r="B1211" s="1">
        <v>0.45416666666666666</v>
      </c>
      <c r="C1211" s="1">
        <v>0.48958333333333331</v>
      </c>
      <c r="E1211" s="21">
        <f t="shared" si="48"/>
        <v>3.5416666666666652E-2</v>
      </c>
      <c r="G1211" s="3" t="s">
        <v>306</v>
      </c>
      <c r="I1211" s="3" t="s">
        <v>308</v>
      </c>
    </row>
    <row r="1212" spans="1:11" x14ac:dyDescent="0.25">
      <c r="A1212" s="20">
        <v>41955</v>
      </c>
      <c r="B1212" s="1">
        <v>0.55138888888888882</v>
      </c>
      <c r="C1212" s="1">
        <v>0.59722222222222221</v>
      </c>
      <c r="E1212" s="21">
        <f t="shared" si="48"/>
        <v>4.5833333333333393E-2</v>
      </c>
      <c r="G1212" s="3" t="s">
        <v>306</v>
      </c>
      <c r="I1212" s="3" t="s">
        <v>308</v>
      </c>
    </row>
    <row r="1213" spans="1:11" x14ac:dyDescent="0.25">
      <c r="A1213" s="20">
        <v>41955</v>
      </c>
      <c r="B1213" s="1">
        <f>C1212</f>
        <v>0.59722222222222221</v>
      </c>
      <c r="C1213" s="1">
        <v>0.65625</v>
      </c>
      <c r="G1213" s="3" t="s">
        <v>119</v>
      </c>
      <c r="I1213" t="s">
        <v>446</v>
      </c>
      <c r="K1213" s="2" t="s">
        <v>468</v>
      </c>
    </row>
    <row r="1214" spans="1:11" x14ac:dyDescent="0.25">
      <c r="A1214" s="20">
        <v>41955</v>
      </c>
      <c r="B1214" s="1">
        <f>C1213</f>
        <v>0.65625</v>
      </c>
      <c r="C1214" s="1">
        <v>0.89583333333333337</v>
      </c>
      <c r="G1214" s="3" t="s">
        <v>204</v>
      </c>
      <c r="I1214" t="s">
        <v>205</v>
      </c>
      <c r="K1214" s="2" t="s">
        <v>482</v>
      </c>
    </row>
    <row r="1216" spans="1:11" x14ac:dyDescent="0.25">
      <c r="A1216" s="20">
        <v>41956</v>
      </c>
      <c r="B1216" s="1">
        <v>0.57847222222222217</v>
      </c>
      <c r="C1216" s="1">
        <v>0.62152777777777779</v>
      </c>
      <c r="E1216" s="21">
        <f t="shared" ref="E1216:E1217" si="49">IF(D1216&lt;(12/1440),C1216-B1216,C1216-B1216-D1216+(12/1440))</f>
        <v>4.3055555555555625E-2</v>
      </c>
      <c r="G1216" s="3" t="s">
        <v>331</v>
      </c>
      <c r="H1216" s="3" t="s">
        <v>438</v>
      </c>
      <c r="I1216" s="7" t="s">
        <v>335</v>
      </c>
    </row>
    <row r="1217" spans="1:11" x14ac:dyDescent="0.25">
      <c r="A1217" s="20">
        <v>41956</v>
      </c>
      <c r="B1217" s="1">
        <f>C1216</f>
        <v>0.62152777777777779</v>
      </c>
      <c r="C1217" s="1">
        <v>0.64930555555555558</v>
      </c>
      <c r="E1217" s="21">
        <f t="shared" si="49"/>
        <v>2.777777777777779E-2</v>
      </c>
      <c r="G1217" s="9" t="s">
        <v>479</v>
      </c>
      <c r="H1217" s="9"/>
      <c r="I1217" s="7" t="s">
        <v>481</v>
      </c>
      <c r="K1217" s="2" t="s">
        <v>483</v>
      </c>
    </row>
    <row r="1218" spans="1:11" x14ac:dyDescent="0.25">
      <c r="A1218" s="20">
        <v>41956</v>
      </c>
      <c r="B1218" s="1">
        <f>C1217</f>
        <v>0.64930555555555558</v>
      </c>
      <c r="C1218" s="1">
        <v>0.77430555555555547</v>
      </c>
      <c r="D1218" s="4">
        <v>1.9444444444444445E-2</v>
      </c>
      <c r="E1218" s="21">
        <f t="shared" ref="E1218:E1220" si="50">IF(D1218&lt;(12/1440),C1218-B1218,C1218-B1218-D1218+(12/1440))</f>
        <v>0.11388888888888878</v>
      </c>
      <c r="G1218" s="3" t="s">
        <v>331</v>
      </c>
      <c r="H1218" s="3" t="s">
        <v>438</v>
      </c>
      <c r="I1218" s="7" t="s">
        <v>335</v>
      </c>
    </row>
    <row r="1219" spans="1:11" s="49" customFormat="1" x14ac:dyDescent="0.25">
      <c r="A1219" s="51"/>
      <c r="B1219" s="42"/>
      <c r="C1219" s="42"/>
      <c r="D1219" s="4"/>
      <c r="E1219" s="21">
        <f t="shared" si="50"/>
        <v>0</v>
      </c>
      <c r="F1219" s="44"/>
      <c r="G1219" s="45"/>
      <c r="H1219" s="45"/>
      <c r="I1219" s="45"/>
      <c r="J1219" s="47"/>
      <c r="K1219" s="43"/>
    </row>
    <row r="1220" spans="1:11" x14ac:dyDescent="0.25">
      <c r="A1220" s="20">
        <v>41957</v>
      </c>
      <c r="B1220" s="1">
        <v>0.47083333333333338</v>
      </c>
      <c r="C1220" s="1">
        <v>0.4826388888888889</v>
      </c>
      <c r="E1220" s="21">
        <f t="shared" si="50"/>
        <v>1.1805555555555514E-2</v>
      </c>
      <c r="G1220" s="9" t="s">
        <v>469</v>
      </c>
      <c r="H1220" s="9"/>
      <c r="I1220" s="7" t="s">
        <v>470</v>
      </c>
    </row>
    <row r="1221" spans="1:11" x14ac:dyDescent="0.25">
      <c r="A1221" s="20">
        <v>41957</v>
      </c>
      <c r="B1221" s="1">
        <f>C1220</f>
        <v>0.4826388888888889</v>
      </c>
      <c r="C1221" s="1">
        <v>0.4861111111111111</v>
      </c>
      <c r="E1221" s="21">
        <f t="shared" ref="E1221:E1222" si="51">IF(D1221&lt;(12/1440),C1221-B1221,C1221-B1221-D1221+(12/1440))</f>
        <v>3.4722222222222099E-3</v>
      </c>
      <c r="G1221" s="3" t="s">
        <v>331</v>
      </c>
      <c r="H1221" s="3" t="s">
        <v>438</v>
      </c>
      <c r="I1221" s="7" t="s">
        <v>335</v>
      </c>
    </row>
    <row r="1222" spans="1:11" x14ac:dyDescent="0.25">
      <c r="A1222" s="20">
        <v>41957</v>
      </c>
      <c r="B1222" s="1">
        <f>C1221</f>
        <v>0.4861111111111111</v>
      </c>
      <c r="C1222" s="1">
        <v>0.50347222222222221</v>
      </c>
      <c r="E1222" s="21">
        <f t="shared" si="51"/>
        <v>1.7361111111111105E-2</v>
      </c>
      <c r="G1222" s="9" t="s">
        <v>471</v>
      </c>
      <c r="H1222" s="9"/>
      <c r="I1222" s="7" t="s">
        <v>472</v>
      </c>
      <c r="K1222" s="2" t="s">
        <v>473</v>
      </c>
    </row>
    <row r="1223" spans="1:11" x14ac:dyDescent="0.25">
      <c r="A1223" s="20">
        <v>41957</v>
      </c>
      <c r="B1223" s="1">
        <v>0.55902777777777779</v>
      </c>
      <c r="C1223" s="1">
        <v>0.56944444444444442</v>
      </c>
      <c r="E1223" s="21">
        <f t="shared" ref="E1223:E1225" si="52">IF(D1223&lt;(12/1440),C1223-B1223,C1223-B1223-D1223+(12/1440))</f>
        <v>1.041666666666663E-2</v>
      </c>
      <c r="G1223" s="9" t="s">
        <v>471</v>
      </c>
      <c r="H1223" s="9"/>
      <c r="I1223" s="7" t="s">
        <v>472</v>
      </c>
      <c r="K1223" s="2" t="s">
        <v>473</v>
      </c>
    </row>
    <row r="1224" spans="1:11" x14ac:dyDescent="0.25">
      <c r="A1224" s="20">
        <v>41957</v>
      </c>
      <c r="B1224" s="1">
        <f>C1223</f>
        <v>0.56944444444444442</v>
      </c>
      <c r="C1224" s="1">
        <v>0.66180555555555554</v>
      </c>
      <c r="D1224" s="4">
        <v>1.7361111111111112E-2</v>
      </c>
      <c r="E1224" s="21">
        <f t="shared" si="52"/>
        <v>8.3333333333333343E-2</v>
      </c>
      <c r="G1224" s="3" t="s">
        <v>331</v>
      </c>
      <c r="H1224" s="3" t="s">
        <v>438</v>
      </c>
      <c r="I1224" s="7" t="s">
        <v>335</v>
      </c>
    </row>
    <row r="1225" spans="1:11" x14ac:dyDescent="0.25">
      <c r="A1225" s="20">
        <v>41957</v>
      </c>
      <c r="B1225" s="1">
        <f>C1224</f>
        <v>0.66180555555555554</v>
      </c>
      <c r="C1225" s="1">
        <v>0.70208333333333339</v>
      </c>
      <c r="E1225" s="21">
        <f t="shared" si="52"/>
        <v>4.0277777777777857E-2</v>
      </c>
      <c r="G1225" s="3" t="s">
        <v>334</v>
      </c>
      <c r="H1225" s="9" t="s">
        <v>438</v>
      </c>
      <c r="I1225" s="7" t="s">
        <v>338</v>
      </c>
      <c r="K1225" s="8" t="s">
        <v>477</v>
      </c>
    </row>
    <row r="1227" spans="1:11" x14ac:dyDescent="0.25">
      <c r="A1227" s="20">
        <v>41958</v>
      </c>
      <c r="B1227" s="1">
        <v>0.72916666666666663</v>
      </c>
      <c r="C1227" s="1">
        <v>0.75</v>
      </c>
      <c r="E1227" s="21">
        <f t="shared" ref="E1227:E1245" si="53">IF(D1227&lt;(12/1440),C1227-B1227,C1227-B1227-D1227+(12/1440))</f>
        <v>2.083333333333337E-2</v>
      </c>
      <c r="G1227" s="3" t="s">
        <v>331</v>
      </c>
      <c r="H1227" s="3" t="s">
        <v>438</v>
      </c>
      <c r="I1227" s="7" t="s">
        <v>335</v>
      </c>
    </row>
    <row r="1228" spans="1:11" x14ac:dyDescent="0.25">
      <c r="A1228" s="20">
        <v>41958</v>
      </c>
      <c r="B1228" s="1">
        <v>0.85416666666666663</v>
      </c>
      <c r="C1228" s="1">
        <v>0.88888888888888884</v>
      </c>
      <c r="D1228" s="4">
        <v>5.5555555555555558E-3</v>
      </c>
      <c r="E1228" s="21">
        <f t="shared" si="53"/>
        <v>3.472222222222221E-2</v>
      </c>
      <c r="G1228" s="9" t="s">
        <v>478</v>
      </c>
      <c r="H1228" s="9"/>
      <c r="I1228" s="7" t="s">
        <v>480</v>
      </c>
    </row>
    <row r="1229" spans="1:11" x14ac:dyDescent="0.25">
      <c r="E1229" s="21">
        <f t="shared" si="53"/>
        <v>0</v>
      </c>
    </row>
    <row r="1230" spans="1:11" x14ac:dyDescent="0.25">
      <c r="A1230" s="20">
        <v>41959</v>
      </c>
      <c r="B1230" s="1">
        <v>0.88541666666666663</v>
      </c>
      <c r="C1230" s="1">
        <v>0.90833333333333333</v>
      </c>
      <c r="E1230" s="21">
        <f t="shared" si="53"/>
        <v>2.2916666666666696E-2</v>
      </c>
      <c r="F1230" s="25">
        <f>SUM(E1230:E1251)</f>
        <v>1.1493055555555558</v>
      </c>
      <c r="G1230" s="9" t="s">
        <v>479</v>
      </c>
      <c r="H1230" s="9"/>
      <c r="I1230" s="7" t="s">
        <v>481</v>
      </c>
      <c r="K1230" s="2" t="s">
        <v>484</v>
      </c>
    </row>
    <row r="1231" spans="1:11" x14ac:dyDescent="0.25">
      <c r="A1231" s="20">
        <v>41959</v>
      </c>
      <c r="B1231" s="1">
        <v>0.93055555555555547</v>
      </c>
      <c r="C1231" s="1">
        <v>0.98472222222222217</v>
      </c>
      <c r="E1231" s="21">
        <f t="shared" ref="E1231" si="54">IF(D1231&lt;(12/1440),C1231-B1231,C1231-B1231-D1231+(12/1440))</f>
        <v>5.4166666666666696E-2</v>
      </c>
      <c r="G1231" s="3" t="s">
        <v>331</v>
      </c>
      <c r="H1231" s="3" t="s">
        <v>438</v>
      </c>
      <c r="I1231" s="7" t="s">
        <v>335</v>
      </c>
    </row>
    <row r="1232" spans="1:11" x14ac:dyDescent="0.25">
      <c r="E1232" s="21">
        <f t="shared" si="53"/>
        <v>0</v>
      </c>
    </row>
    <row r="1233" spans="1:11" x14ac:dyDescent="0.25">
      <c r="A1233" s="20">
        <v>41960</v>
      </c>
      <c r="E1233" s="21">
        <f t="shared" si="53"/>
        <v>0</v>
      </c>
    </row>
    <row r="1234" spans="1:11" x14ac:dyDescent="0.25">
      <c r="A1234" s="20">
        <v>41960</v>
      </c>
      <c r="E1234" s="21">
        <f t="shared" si="53"/>
        <v>0</v>
      </c>
    </row>
    <row r="1235" spans="1:11" x14ac:dyDescent="0.25">
      <c r="E1235" s="21">
        <f t="shared" si="53"/>
        <v>0</v>
      </c>
    </row>
    <row r="1236" spans="1:11" x14ac:dyDescent="0.25">
      <c r="A1236" s="20">
        <v>41961</v>
      </c>
      <c r="B1236" s="1">
        <v>0.33333333333333331</v>
      </c>
      <c r="C1236" s="1">
        <v>0.5</v>
      </c>
      <c r="E1236" s="21">
        <f t="shared" si="53"/>
        <v>0.16666666666666669</v>
      </c>
      <c r="G1236" s="9" t="s">
        <v>313</v>
      </c>
      <c r="H1236" s="9"/>
      <c r="I1236" s="7" t="s">
        <v>321</v>
      </c>
      <c r="K1236" s="2" t="s">
        <v>485</v>
      </c>
    </row>
    <row r="1237" spans="1:11" x14ac:dyDescent="0.25">
      <c r="A1237" s="20">
        <v>41961</v>
      </c>
      <c r="B1237" s="1">
        <v>0.54166666666666663</v>
      </c>
      <c r="C1237" s="1">
        <v>0.71875</v>
      </c>
      <c r="E1237" s="21">
        <f t="shared" si="53"/>
        <v>0.17708333333333337</v>
      </c>
      <c r="G1237" s="9" t="s">
        <v>313</v>
      </c>
      <c r="H1237" s="9"/>
      <c r="I1237" s="7" t="s">
        <v>321</v>
      </c>
    </row>
    <row r="1239" spans="1:11" x14ac:dyDescent="0.25">
      <c r="A1239" s="20">
        <v>41962</v>
      </c>
      <c r="B1239" s="1">
        <v>0.33333333333333331</v>
      </c>
      <c r="C1239" s="1">
        <v>0.5</v>
      </c>
      <c r="E1239" s="21">
        <f t="shared" si="53"/>
        <v>0.16666666666666669</v>
      </c>
      <c r="G1239" s="9" t="s">
        <v>313</v>
      </c>
      <c r="H1239" s="9"/>
      <c r="I1239" s="7" t="s">
        <v>321</v>
      </c>
    </row>
    <row r="1240" spans="1:11" x14ac:dyDescent="0.25">
      <c r="A1240" s="20">
        <v>41962</v>
      </c>
      <c r="B1240" s="1">
        <v>0.54166666666666663</v>
      </c>
      <c r="C1240" s="1">
        <v>0.71875</v>
      </c>
      <c r="E1240" s="21">
        <f t="shared" si="53"/>
        <v>0.17708333333333337</v>
      </c>
      <c r="F1240" s="26"/>
      <c r="G1240" s="9" t="s">
        <v>313</v>
      </c>
      <c r="H1240" s="9"/>
      <c r="I1240" s="7" t="s">
        <v>321</v>
      </c>
    </row>
    <row r="1241" spans="1:11" x14ac:dyDescent="0.25">
      <c r="E1241" s="21">
        <f t="shared" si="53"/>
        <v>0</v>
      </c>
      <c r="F1241" s="27"/>
    </row>
    <row r="1242" spans="1:11" x14ac:dyDescent="0.25">
      <c r="A1242" s="20">
        <v>41963</v>
      </c>
      <c r="B1242" s="1">
        <v>0.39583333333333331</v>
      </c>
      <c r="C1242" s="1">
        <v>0.44444444444444442</v>
      </c>
      <c r="E1242" s="21">
        <f t="shared" si="53"/>
        <v>4.8611111111111105E-2</v>
      </c>
      <c r="G1242" s="9" t="s">
        <v>479</v>
      </c>
      <c r="H1242" s="9"/>
      <c r="I1242" s="7" t="s">
        <v>481</v>
      </c>
      <c r="K1242" s="2" t="s">
        <v>487</v>
      </c>
    </row>
    <row r="1243" spans="1:11" x14ac:dyDescent="0.25">
      <c r="E1243" s="21">
        <f t="shared" si="53"/>
        <v>0</v>
      </c>
    </row>
    <row r="1244" spans="1:11" x14ac:dyDescent="0.25">
      <c r="A1244" s="20">
        <v>41964</v>
      </c>
      <c r="B1244" s="1">
        <v>0.47013888888888888</v>
      </c>
      <c r="C1244" s="1">
        <v>0.4826388888888889</v>
      </c>
      <c r="E1244" s="21">
        <f t="shared" si="53"/>
        <v>1.2500000000000011E-2</v>
      </c>
      <c r="G1244" s="9" t="s">
        <v>241</v>
      </c>
      <c r="H1244" s="9"/>
      <c r="I1244" s="7" t="s">
        <v>233</v>
      </c>
    </row>
    <row r="1245" spans="1:11" x14ac:dyDescent="0.25">
      <c r="A1245" s="20">
        <v>41964</v>
      </c>
      <c r="B1245" s="1">
        <v>0.48749999999999999</v>
      </c>
      <c r="C1245" s="1">
        <v>0.51944444444444449</v>
      </c>
      <c r="E1245" s="21">
        <f t="shared" si="53"/>
        <v>3.1944444444444497E-2</v>
      </c>
      <c r="G1245" s="3" t="s">
        <v>332</v>
      </c>
      <c r="I1245" s="7" t="s">
        <v>336</v>
      </c>
    </row>
    <row r="1246" spans="1:11" x14ac:dyDescent="0.25">
      <c r="A1246" s="20">
        <v>41964</v>
      </c>
      <c r="B1246" s="1">
        <v>0.54166666666666663</v>
      </c>
      <c r="C1246" s="1">
        <v>0.57361111111111118</v>
      </c>
      <c r="E1246" s="21">
        <f t="shared" ref="E1246:E1247" si="55">IF(D1246&lt;(12/1440),C1246-B1246,C1246-B1246-D1246+(12/1440))</f>
        <v>3.1944444444444553E-2</v>
      </c>
      <c r="G1246" s="3" t="s">
        <v>332</v>
      </c>
      <c r="I1246" s="7" t="s">
        <v>336</v>
      </c>
    </row>
    <row r="1247" spans="1:11" x14ac:dyDescent="0.25">
      <c r="A1247" s="20">
        <v>41964</v>
      </c>
      <c r="B1247" s="1">
        <v>0.58680555555555558</v>
      </c>
      <c r="C1247" s="1">
        <v>0.62847222222222221</v>
      </c>
      <c r="E1247" s="21">
        <f t="shared" si="55"/>
        <v>4.166666666666663E-2</v>
      </c>
      <c r="G1247" s="9" t="s">
        <v>199</v>
      </c>
      <c r="H1247" s="9"/>
      <c r="I1247" s="7" t="s">
        <v>202</v>
      </c>
      <c r="K1247" s="8" t="s">
        <v>488</v>
      </c>
    </row>
    <row r="1248" spans="1:11" x14ac:dyDescent="0.25">
      <c r="A1248" s="20">
        <v>41964</v>
      </c>
      <c r="B1248" s="1">
        <f>C1247</f>
        <v>0.62847222222222221</v>
      </c>
      <c r="C1248" s="1">
        <v>0.71666666666666667</v>
      </c>
      <c r="D1248" s="4">
        <v>8.3333333333333332E-3</v>
      </c>
      <c r="E1248" s="21">
        <f t="shared" ref="E1248:E1253" si="56">IF(D1248&lt;(12/1440),C1248-B1248,C1248-B1248-D1248+(12/1440))</f>
        <v>8.8194444444444464E-2</v>
      </c>
      <c r="G1248" s="3" t="s">
        <v>332</v>
      </c>
      <c r="I1248" s="7" t="s">
        <v>336</v>
      </c>
    </row>
    <row r="1249" spans="1:9" x14ac:dyDescent="0.25">
      <c r="A1249" s="20">
        <v>41964</v>
      </c>
      <c r="B1249" s="1">
        <f>C1248</f>
        <v>0.71666666666666667</v>
      </c>
      <c r="C1249" s="1">
        <v>0.7583333333333333</v>
      </c>
      <c r="E1249" s="21">
        <f t="shared" si="56"/>
        <v>4.166666666666663E-2</v>
      </c>
      <c r="G1249" s="9" t="s">
        <v>489</v>
      </c>
      <c r="H1249" s="9"/>
      <c r="I1249" s="7" t="s">
        <v>490</v>
      </c>
    </row>
    <row r="1250" spans="1:9" x14ac:dyDescent="0.25">
      <c r="E1250" s="21">
        <f t="shared" si="56"/>
        <v>0</v>
      </c>
    </row>
    <row r="1251" spans="1:9" x14ac:dyDescent="0.25">
      <c r="A1251" s="20">
        <v>41965</v>
      </c>
      <c r="B1251" s="1">
        <v>0.85416666666666663</v>
      </c>
      <c r="C1251" s="1">
        <v>0.94236111111111109</v>
      </c>
      <c r="E1251" s="21">
        <f t="shared" si="56"/>
        <v>8.8194444444444464E-2</v>
      </c>
      <c r="G1251" s="9" t="s">
        <v>491</v>
      </c>
      <c r="H1251" s="9"/>
      <c r="I1251" s="7" t="s">
        <v>492</v>
      </c>
    </row>
    <row r="1253" spans="1:9" x14ac:dyDescent="0.25">
      <c r="A1253" s="20">
        <v>41966</v>
      </c>
      <c r="B1253" s="1">
        <v>0.62847222222222221</v>
      </c>
      <c r="C1253" s="1">
        <v>0.7597222222222223</v>
      </c>
      <c r="D1253" s="4">
        <v>3.3333333333333333E-2</v>
      </c>
      <c r="E1253" s="21">
        <f t="shared" si="56"/>
        <v>0.10625000000000009</v>
      </c>
      <c r="F1253" s="25">
        <f>SUM(E1253:E1285)</f>
        <v>1.2013888888888888</v>
      </c>
      <c r="G1253" s="9" t="s">
        <v>491</v>
      </c>
      <c r="H1253" s="9"/>
      <c r="I1253" s="7" t="s">
        <v>492</v>
      </c>
    </row>
    <row r="1254" spans="1:9" x14ac:dyDescent="0.25">
      <c r="A1254" s="20">
        <v>41966</v>
      </c>
      <c r="B1254" s="1">
        <v>0.78055555555555556</v>
      </c>
      <c r="C1254" s="1">
        <v>0.87152777777777779</v>
      </c>
      <c r="D1254" s="4">
        <v>4.8611111111111112E-3</v>
      </c>
      <c r="E1254" s="21">
        <f t="shared" ref="E1254" si="57">IF(D1254&lt;(12/1440),C1254-B1254,C1254-B1254-D1254+(12/1440))</f>
        <v>9.0972222222222232E-2</v>
      </c>
      <c r="G1254" s="9" t="s">
        <v>491</v>
      </c>
      <c r="H1254" s="9"/>
      <c r="I1254" s="7" t="s">
        <v>492</v>
      </c>
    </row>
    <row r="1255" spans="1:9" x14ac:dyDescent="0.25">
      <c r="A1255" s="20">
        <v>41966</v>
      </c>
      <c r="B1255" s="1">
        <v>0.91666666666666663</v>
      </c>
      <c r="C1255" s="1">
        <v>0.9590277777777777</v>
      </c>
      <c r="E1255" s="21">
        <f t="shared" ref="E1255:E1257" si="58">IF(D1255&lt;(12/1440),C1255-B1255,C1255-B1255-D1255+(12/1440))</f>
        <v>4.2361111111111072E-2</v>
      </c>
      <c r="G1255" s="9" t="s">
        <v>491</v>
      </c>
      <c r="H1255" s="9"/>
      <c r="I1255" s="7" t="s">
        <v>492</v>
      </c>
    </row>
    <row r="1256" spans="1:9" x14ac:dyDescent="0.25">
      <c r="E1256" s="21">
        <f t="shared" si="58"/>
        <v>0</v>
      </c>
      <c r="F1256" s="27"/>
    </row>
    <row r="1257" spans="1:9" x14ac:dyDescent="0.25">
      <c r="A1257" s="20">
        <v>41967</v>
      </c>
      <c r="B1257" s="1">
        <v>0</v>
      </c>
      <c r="C1257" s="1">
        <v>7.6388888888888886E-3</v>
      </c>
      <c r="E1257" s="21">
        <f t="shared" si="58"/>
        <v>7.6388888888888886E-3</v>
      </c>
      <c r="G1257" s="9" t="s">
        <v>491</v>
      </c>
      <c r="H1257" s="9"/>
      <c r="I1257" s="7" t="s">
        <v>492</v>
      </c>
    </row>
    <row r="1258" spans="1:9" x14ac:dyDescent="0.25">
      <c r="A1258" s="20">
        <v>41967</v>
      </c>
      <c r="B1258" s="1">
        <v>0.40069444444444446</v>
      </c>
      <c r="C1258" s="1">
        <v>0.41736111111111113</v>
      </c>
      <c r="E1258" s="21">
        <f t="shared" ref="E1258:E1260" si="59">IF(D1258&lt;(12/1440),C1258-B1258,C1258-B1258-D1258+(12/1440))</f>
        <v>1.6666666666666663E-2</v>
      </c>
      <c r="G1258" s="9" t="s">
        <v>491</v>
      </c>
      <c r="H1258" s="9"/>
      <c r="I1258" s="7" t="s">
        <v>492</v>
      </c>
    </row>
    <row r="1259" spans="1:9" x14ac:dyDescent="0.25">
      <c r="A1259" s="20">
        <v>41967</v>
      </c>
      <c r="B1259" s="1">
        <f>C1258</f>
        <v>0.41736111111111113</v>
      </c>
      <c r="C1259" s="1">
        <v>0.44236111111111115</v>
      </c>
      <c r="E1259" s="21">
        <f t="shared" si="59"/>
        <v>2.5000000000000022E-2</v>
      </c>
      <c r="G1259" s="9" t="s">
        <v>421</v>
      </c>
      <c r="I1259" s="7" t="s">
        <v>422</v>
      </c>
    </row>
    <row r="1260" spans="1:9" x14ac:dyDescent="0.25">
      <c r="A1260" s="20">
        <v>41967</v>
      </c>
      <c r="B1260" s="1">
        <f>C1259</f>
        <v>0.44236111111111115</v>
      </c>
      <c r="C1260" s="1">
        <v>0.50555555555555554</v>
      </c>
      <c r="E1260" s="21">
        <f t="shared" si="59"/>
        <v>6.3194444444444386E-2</v>
      </c>
      <c r="G1260" s="9" t="s">
        <v>491</v>
      </c>
      <c r="H1260" s="9"/>
      <c r="I1260" s="7" t="s">
        <v>492</v>
      </c>
    </row>
    <row r="1261" spans="1:9" x14ac:dyDescent="0.25">
      <c r="A1261" s="20">
        <v>41967</v>
      </c>
      <c r="B1261" s="1">
        <v>0.53194444444444444</v>
      </c>
      <c r="C1261" s="1">
        <v>0.59305555555555556</v>
      </c>
      <c r="D1261" s="4">
        <v>1.1111111111111112E-2</v>
      </c>
      <c r="E1261" s="21">
        <f t="shared" ref="E1261:E1262" si="60">IF(D1261&lt;(12/1440),C1261-B1261,C1261-B1261-D1261+(12/1440))</f>
        <v>5.8333333333333334E-2</v>
      </c>
      <c r="G1261" s="9" t="s">
        <v>491</v>
      </c>
      <c r="H1261" s="9"/>
      <c r="I1261" s="7" t="s">
        <v>492</v>
      </c>
    </row>
    <row r="1262" spans="1:9" x14ac:dyDescent="0.25">
      <c r="A1262" s="20">
        <v>41967</v>
      </c>
      <c r="B1262" s="1">
        <v>0.60069444444444442</v>
      </c>
      <c r="C1262" s="1">
        <v>0.60625000000000007</v>
      </c>
      <c r="E1262" s="21">
        <f t="shared" si="60"/>
        <v>5.5555555555556468E-3</v>
      </c>
      <c r="G1262" s="9" t="s">
        <v>421</v>
      </c>
      <c r="I1262" s="7" t="s">
        <v>422</v>
      </c>
    </row>
    <row r="1263" spans="1:9" x14ac:dyDescent="0.25">
      <c r="A1263" s="20">
        <v>41967</v>
      </c>
      <c r="B1263" s="1">
        <v>0.65555555555555556</v>
      </c>
      <c r="C1263" s="1">
        <v>0.8125</v>
      </c>
      <c r="E1263" s="21">
        <f t="shared" ref="E1263" si="61">IF(D1263&lt;(12/1440),C1263-B1263,C1263-B1263-D1263+(12/1440))</f>
        <v>0.15694444444444444</v>
      </c>
      <c r="G1263" s="9" t="s">
        <v>491</v>
      </c>
      <c r="H1263" s="9"/>
      <c r="I1263" s="7" t="s">
        <v>492</v>
      </c>
    </row>
    <row r="1264" spans="1:9" x14ac:dyDescent="0.25">
      <c r="E1264" s="21">
        <f t="shared" ref="E1264:E1267" si="62">IF(D1264&lt;(12/1440),C1264-B1264,C1264-B1264-D1264+(12/1440))</f>
        <v>0</v>
      </c>
      <c r="G1264" s="9"/>
      <c r="H1264" s="9"/>
      <c r="I1264" s="7"/>
    </row>
    <row r="1265" spans="1:9" x14ac:dyDescent="0.25">
      <c r="A1265" s="20">
        <v>41968</v>
      </c>
      <c r="B1265" s="1">
        <v>0.47430555555555554</v>
      </c>
      <c r="C1265" s="1">
        <v>0.49513888888888885</v>
      </c>
      <c r="E1265" s="21">
        <f t="shared" si="62"/>
        <v>2.0833333333333315E-2</v>
      </c>
      <c r="G1265" s="9" t="s">
        <v>421</v>
      </c>
      <c r="I1265" s="7" t="s">
        <v>422</v>
      </c>
    </row>
    <row r="1266" spans="1:9" x14ac:dyDescent="0.25">
      <c r="A1266" s="20">
        <v>41968</v>
      </c>
      <c r="B1266" s="1">
        <v>0.54861111111111105</v>
      </c>
      <c r="C1266" s="1">
        <v>0.78402777777777777</v>
      </c>
      <c r="E1266" s="21">
        <f t="shared" si="62"/>
        <v>0.23541666666666672</v>
      </c>
      <c r="G1266" s="9" t="s">
        <v>491</v>
      </c>
      <c r="H1266" s="9"/>
      <c r="I1266" s="7" t="s">
        <v>492</v>
      </c>
    </row>
    <row r="1267" spans="1:9" x14ac:dyDescent="0.25">
      <c r="A1267" s="20">
        <v>41968</v>
      </c>
      <c r="B1267" s="1">
        <v>0.88541666666666663</v>
      </c>
      <c r="C1267" s="1">
        <v>0.98611111111111116</v>
      </c>
      <c r="E1267" s="21">
        <f t="shared" si="62"/>
        <v>0.10069444444444453</v>
      </c>
      <c r="G1267" s="9" t="s">
        <v>491</v>
      </c>
      <c r="H1267" s="9"/>
      <c r="I1267" s="7" t="s">
        <v>492</v>
      </c>
    </row>
    <row r="1269" spans="1:9" x14ac:dyDescent="0.25">
      <c r="A1269" s="20">
        <v>41969</v>
      </c>
      <c r="B1269" s="1">
        <v>0.44444444444444442</v>
      </c>
      <c r="C1269" s="1">
        <v>0.46527777777777773</v>
      </c>
      <c r="E1269" s="21">
        <f t="shared" ref="E1269:E1270" si="63">IF(D1269&lt;(12/1440),C1269-B1269,C1269-B1269-D1269+(12/1440))</f>
        <v>2.0833333333333315E-2</v>
      </c>
      <c r="G1269" s="9" t="s">
        <v>421</v>
      </c>
      <c r="I1269" s="7" t="s">
        <v>422</v>
      </c>
    </row>
    <row r="1270" spans="1:9" x14ac:dyDescent="0.25">
      <c r="A1270" s="20">
        <v>41969</v>
      </c>
      <c r="B1270" s="1">
        <v>0.48402777777777778</v>
      </c>
      <c r="C1270" s="1">
        <v>0.54236111111111118</v>
      </c>
      <c r="D1270" s="4">
        <v>5.5555555555555558E-3</v>
      </c>
      <c r="E1270" s="21">
        <f t="shared" si="63"/>
        <v>5.8333333333333404E-2</v>
      </c>
      <c r="G1270" s="9" t="s">
        <v>491</v>
      </c>
      <c r="H1270" s="9"/>
      <c r="I1270" s="7" t="s">
        <v>492</v>
      </c>
    </row>
    <row r="1271" spans="1:9" x14ac:dyDescent="0.25">
      <c r="A1271" s="20">
        <v>41969</v>
      </c>
      <c r="B1271" s="1">
        <v>0.58194444444444449</v>
      </c>
      <c r="C1271" s="1">
        <v>0.77430555555555547</v>
      </c>
      <c r="D1271" s="4">
        <v>1.9444444444444445E-2</v>
      </c>
      <c r="E1271" s="21">
        <f t="shared" ref="E1271" si="64">IF(D1271&lt;(12/1440),C1271-B1271,C1271-B1271-D1271+(12/1440))</f>
        <v>0.18124999999999988</v>
      </c>
      <c r="G1271" s="9" t="s">
        <v>491</v>
      </c>
      <c r="H1271" s="9"/>
      <c r="I1271" s="7" t="s">
        <v>492</v>
      </c>
    </row>
    <row r="1272" spans="1:9" x14ac:dyDescent="0.25">
      <c r="A1272" s="20">
        <v>41969</v>
      </c>
      <c r="B1272" s="1">
        <v>0.88263888888888886</v>
      </c>
      <c r="C1272" s="1">
        <v>0.89374999999999993</v>
      </c>
      <c r="E1272" s="21">
        <f t="shared" ref="E1272" si="65">IF(D1272&lt;(12/1440),C1272-B1272,C1272-B1272-D1272+(12/1440))</f>
        <v>1.1111111111111072E-2</v>
      </c>
      <c r="G1272" s="9" t="s">
        <v>491</v>
      </c>
      <c r="H1272" s="9"/>
      <c r="I1272" s="7" t="s">
        <v>492</v>
      </c>
    </row>
    <row r="1274" spans="1:9" x14ac:dyDescent="0.25">
      <c r="F1274" s="26"/>
    </row>
    <row r="1291" spans="6:6" x14ac:dyDescent="0.25">
      <c r="F1291" s="26"/>
    </row>
    <row r="1292" spans="6:6" x14ac:dyDescent="0.25">
      <c r="F1292" s="27"/>
    </row>
    <row r="1306" spans="6:6" x14ac:dyDescent="0.25">
      <c r="F1306" s="26"/>
    </row>
    <row r="1307" spans="6:6" x14ac:dyDescent="0.25">
      <c r="F1307" s="27"/>
    </row>
    <row r="1311" spans="6:6" x14ac:dyDescent="0.25">
      <c r="F1311" s="27"/>
    </row>
    <row r="1312" spans="6:6" x14ac:dyDescent="0.25">
      <c r="F1312" s="28"/>
    </row>
    <row r="1314" spans="6:6" x14ac:dyDescent="0.25">
      <c r="F1314" s="27"/>
    </row>
    <row r="1315" spans="6:6" x14ac:dyDescent="0.25">
      <c r="F1315" s="27"/>
    </row>
    <row r="1317" spans="6:6" x14ac:dyDescent="0.25">
      <c r="F1317" s="27"/>
    </row>
    <row r="1318" spans="6:6" x14ac:dyDescent="0.25">
      <c r="F1318" s="27"/>
    </row>
    <row r="1321" spans="6:6" x14ac:dyDescent="0.25">
      <c r="F1321" s="27"/>
    </row>
    <row r="1324" spans="6:6" x14ac:dyDescent="0.25">
      <c r="F1324" s="27"/>
    </row>
    <row r="1328" spans="6:6" x14ac:dyDescent="0.25">
      <c r="F1328" s="26"/>
    </row>
    <row r="1329" spans="6:6" x14ac:dyDescent="0.25">
      <c r="F1329" s="27"/>
    </row>
    <row r="1331" spans="6:6" x14ac:dyDescent="0.25">
      <c r="F1331" s="27"/>
    </row>
    <row r="1332" spans="6:6" x14ac:dyDescent="0.25">
      <c r="F1332" s="28"/>
    </row>
    <row r="1334" spans="6:6" x14ac:dyDescent="0.25">
      <c r="F1334" s="27"/>
    </row>
    <row r="1335" spans="6:6" x14ac:dyDescent="0.25">
      <c r="F1335" s="28"/>
    </row>
    <row r="1337" spans="6:6" x14ac:dyDescent="0.25">
      <c r="F1337" s="27"/>
    </row>
    <row r="1338" spans="6:6" x14ac:dyDescent="0.25">
      <c r="F1338" s="28"/>
    </row>
    <row r="1340" spans="6:6" x14ac:dyDescent="0.25">
      <c r="F1340" s="27"/>
    </row>
    <row r="1341" spans="6:6" x14ac:dyDescent="0.25">
      <c r="F1341" s="27"/>
    </row>
    <row r="1342" spans="6:6" x14ac:dyDescent="0.25">
      <c r="F1342" s="28"/>
    </row>
    <row r="1344" spans="6:6" x14ac:dyDescent="0.25">
      <c r="F1344" s="27"/>
    </row>
    <row r="1345" spans="6:6" x14ac:dyDescent="0.25">
      <c r="F1345" s="28"/>
    </row>
    <row r="1348" spans="6:6" x14ac:dyDescent="0.25">
      <c r="F1348" s="26"/>
    </row>
    <row r="1349" spans="6:6" x14ac:dyDescent="0.25">
      <c r="F1349" s="27"/>
    </row>
    <row r="1350" spans="6:6" x14ac:dyDescent="0.25">
      <c r="F1350" s="27"/>
    </row>
    <row r="1351" spans="6:6" x14ac:dyDescent="0.25">
      <c r="F1351" s="28"/>
    </row>
    <row r="1353" spans="6:6" x14ac:dyDescent="0.25">
      <c r="F1353" s="27"/>
    </row>
    <row r="1354" spans="6:6" x14ac:dyDescent="0.25">
      <c r="F1354" s="28"/>
    </row>
    <row r="1356" spans="6:6" x14ac:dyDescent="0.25">
      <c r="F1356" s="27"/>
    </row>
    <row r="1357" spans="6:6" x14ac:dyDescent="0.25">
      <c r="F1357" s="28"/>
    </row>
    <row r="1360" spans="6:6" x14ac:dyDescent="0.25">
      <c r="F1360" s="27"/>
    </row>
    <row r="1361" spans="6:6" x14ac:dyDescent="0.25">
      <c r="F1361" s="28"/>
    </row>
    <row r="1367" spans="6:6" x14ac:dyDescent="0.25">
      <c r="F1367" s="26"/>
    </row>
    <row r="1368" spans="6:6" x14ac:dyDescent="0.25">
      <c r="F1368" s="27"/>
    </row>
    <row r="1374" spans="6:6" x14ac:dyDescent="0.25">
      <c r="F1374" s="26"/>
    </row>
    <row r="1383" spans="6:6" x14ac:dyDescent="0.25">
      <c r="F1383" s="26"/>
    </row>
    <row r="1384" spans="6:6" x14ac:dyDescent="0.25">
      <c r="F1384" s="27"/>
    </row>
    <row r="1387" spans="6:6" x14ac:dyDescent="0.25">
      <c r="F1387" s="26"/>
    </row>
    <row r="1398" spans="6:6" x14ac:dyDescent="0.25">
      <c r="F1398" s="26"/>
    </row>
    <row r="1399" spans="6:6" x14ac:dyDescent="0.25">
      <c r="F1399" s="27"/>
    </row>
    <row r="1402" spans="6:6" x14ac:dyDescent="0.25">
      <c r="F1402" s="26"/>
    </row>
    <row r="1414" spans="6:6" x14ac:dyDescent="0.25">
      <c r="F1414" s="26"/>
    </row>
    <row r="1415" spans="6:6" x14ac:dyDescent="0.25">
      <c r="F1415" s="27"/>
    </row>
    <row r="1422" spans="6:6" x14ac:dyDescent="0.25">
      <c r="F1422" s="26"/>
    </row>
    <row r="1423" spans="6:6" x14ac:dyDescent="0.25">
      <c r="F1423" s="27"/>
    </row>
    <row r="1426" spans="6:6" x14ac:dyDescent="0.25">
      <c r="F1426" s="26"/>
    </row>
    <row r="1427" spans="6:6" x14ac:dyDescent="0.25">
      <c r="F1427" s="27"/>
    </row>
    <row r="1438" spans="6:6" x14ac:dyDescent="0.25">
      <c r="F1438" s="26"/>
    </row>
    <row r="1439" spans="6:6" x14ac:dyDescent="0.25">
      <c r="F1439" s="26"/>
    </row>
    <row r="1442" spans="6:11" x14ac:dyDescent="0.25">
      <c r="F1442" s="26"/>
    </row>
    <row r="1443" spans="6:11" x14ac:dyDescent="0.25">
      <c r="F1443" s="27"/>
    </row>
    <row r="1452" spans="6:11" x14ac:dyDescent="0.25">
      <c r="K1452" s="5"/>
    </row>
    <row r="1454" spans="6:11" x14ac:dyDescent="0.25">
      <c r="F1454" s="26"/>
    </row>
    <row r="1456" spans="6:11" x14ac:dyDescent="0.25">
      <c r="F1456" s="26"/>
    </row>
    <row r="1459" spans="6:12" x14ac:dyDescent="0.25">
      <c r="F1459" s="26"/>
    </row>
    <row r="1460" spans="6:12" x14ac:dyDescent="0.25">
      <c r="F1460" s="27"/>
    </row>
    <row r="1463" spans="6:12" x14ac:dyDescent="0.25">
      <c r="G1463" s="6"/>
      <c r="H1463" s="6"/>
      <c r="L1463" s="2"/>
    </row>
    <row r="1464" spans="6:12" x14ac:dyDescent="0.25">
      <c r="G1464" s="6"/>
      <c r="H1464" s="6"/>
      <c r="L1464" s="2"/>
    </row>
    <row r="1474" spans="6:6" x14ac:dyDescent="0.25">
      <c r="F1474" s="27"/>
    </row>
    <row r="1477" spans="6:6" x14ac:dyDescent="0.25">
      <c r="F1477" s="26"/>
    </row>
    <row r="1478" spans="6:6" x14ac:dyDescent="0.25">
      <c r="F1478" s="27"/>
    </row>
    <row r="1488" spans="6:6" x14ac:dyDescent="0.25">
      <c r="F1488" s="26"/>
    </row>
    <row r="1489" spans="6:8" x14ac:dyDescent="0.25">
      <c r="F1489" s="27"/>
    </row>
    <row r="1491" spans="6:8" x14ac:dyDescent="0.25">
      <c r="F1491" s="27"/>
    </row>
    <row r="1494" spans="6:8" x14ac:dyDescent="0.25">
      <c r="F1494" s="26"/>
    </row>
    <row r="1495" spans="6:8" x14ac:dyDescent="0.25">
      <c r="F1495" s="27"/>
    </row>
    <row r="1498" spans="6:8" x14ac:dyDescent="0.25">
      <c r="G1498" s="6"/>
      <c r="H1498" s="6"/>
    </row>
    <row r="1499" spans="6:8" x14ac:dyDescent="0.25">
      <c r="G1499" s="6"/>
      <c r="H1499" s="6"/>
    </row>
    <row r="1502" spans="6:8" x14ac:dyDescent="0.25">
      <c r="G1502" s="6"/>
      <c r="H1502" s="6"/>
    </row>
    <row r="1503" spans="6:8" x14ac:dyDescent="0.25">
      <c r="F1503" s="27"/>
    </row>
    <row r="1505" spans="6:8" x14ac:dyDescent="0.25">
      <c r="F1505" s="26"/>
    </row>
    <row r="1506" spans="6:8" x14ac:dyDescent="0.25">
      <c r="F1506" s="27"/>
    </row>
    <row r="1507" spans="6:8" x14ac:dyDescent="0.25">
      <c r="F1507" s="26"/>
    </row>
    <row r="1508" spans="6:8" x14ac:dyDescent="0.25">
      <c r="F1508" s="26"/>
    </row>
    <row r="1509" spans="6:8" x14ac:dyDescent="0.25">
      <c r="F1509" s="26"/>
      <c r="G1509" s="6"/>
      <c r="H1509" s="6"/>
    </row>
    <row r="1512" spans="6:8" x14ac:dyDescent="0.25">
      <c r="F1512" s="26"/>
      <c r="G1512" s="6"/>
      <c r="H1512" s="6"/>
    </row>
    <row r="1513" spans="6:8" x14ac:dyDescent="0.25">
      <c r="F1513" s="27"/>
    </row>
    <row r="1514" spans="6:8" x14ac:dyDescent="0.25">
      <c r="G1514" s="6"/>
      <c r="H1514" s="6"/>
    </row>
    <row r="1524" spans="6:11" x14ac:dyDescent="0.25">
      <c r="F1524" s="26"/>
    </row>
    <row r="1525" spans="6:11" x14ac:dyDescent="0.25">
      <c r="F1525" s="27"/>
      <c r="K1525" s="5"/>
    </row>
    <row r="1527" spans="6:11" x14ac:dyDescent="0.25">
      <c r="F1527" s="26"/>
    </row>
    <row r="1529" spans="6:11" x14ac:dyDescent="0.25">
      <c r="F1529" s="26"/>
    </row>
    <row r="1530" spans="6:11" x14ac:dyDescent="0.25">
      <c r="G1530" s="6"/>
      <c r="H1530" s="6"/>
    </row>
    <row r="1531" spans="6:11" x14ac:dyDescent="0.25">
      <c r="F1531" s="26"/>
    </row>
    <row r="1532" spans="6:11" x14ac:dyDescent="0.25">
      <c r="F1532" s="27"/>
    </row>
    <row r="1533" spans="6:11" x14ac:dyDescent="0.25">
      <c r="G1533" s="6"/>
      <c r="H1533" s="6"/>
    </row>
    <row r="1534" spans="6:11" x14ac:dyDescent="0.25">
      <c r="G1534" s="6"/>
      <c r="H1534" s="6"/>
    </row>
    <row r="1537" spans="6:8" x14ac:dyDescent="0.25">
      <c r="G1537" s="6"/>
      <c r="H1537" s="6"/>
    </row>
    <row r="1538" spans="6:8" x14ac:dyDescent="0.25">
      <c r="G1538" s="6"/>
      <c r="H1538" s="6"/>
    </row>
    <row r="1540" spans="6:8" x14ac:dyDescent="0.25">
      <c r="G1540" s="6"/>
      <c r="H1540" s="6"/>
    </row>
    <row r="1541" spans="6:8" x14ac:dyDescent="0.25">
      <c r="F1541" s="27"/>
    </row>
    <row r="1542" spans="6:8" x14ac:dyDescent="0.25">
      <c r="G1542" s="6"/>
      <c r="H1542" s="6"/>
    </row>
    <row r="1544" spans="6:8" x14ac:dyDescent="0.25">
      <c r="G1544" s="6"/>
      <c r="H1544" s="6"/>
    </row>
    <row r="1550" spans="6:8" x14ac:dyDescent="0.25">
      <c r="G1550" s="6"/>
      <c r="H1550" s="6"/>
    </row>
    <row r="1551" spans="6:8" x14ac:dyDescent="0.25">
      <c r="F1551" s="26"/>
    </row>
    <row r="1552" spans="6:8" x14ac:dyDescent="0.25">
      <c r="F1552" s="27"/>
    </row>
    <row r="1554" spans="6:6" x14ac:dyDescent="0.25">
      <c r="F1554" s="26"/>
    </row>
    <row r="1555" spans="6:6" x14ac:dyDescent="0.25">
      <c r="F1555" s="27"/>
    </row>
    <row r="1566" spans="6:6" x14ac:dyDescent="0.25">
      <c r="F1566" s="26"/>
    </row>
    <row r="1567" spans="6:6" x14ac:dyDescent="0.25">
      <c r="F1567" s="27"/>
    </row>
    <row r="1579" spans="6:8" x14ac:dyDescent="0.25">
      <c r="F1579" s="26"/>
    </row>
    <row r="1580" spans="6:8" x14ac:dyDescent="0.25">
      <c r="F1580" s="27"/>
    </row>
    <row r="1581" spans="6:8" x14ac:dyDescent="0.25">
      <c r="G1581" s="6"/>
      <c r="H1581" s="6"/>
    </row>
    <row r="1583" spans="6:8" x14ac:dyDescent="0.25">
      <c r="F1583" s="26"/>
    </row>
    <row r="1584" spans="6:8" x14ac:dyDescent="0.25">
      <c r="F1584" s="27"/>
    </row>
    <row r="1585" spans="6:8" x14ac:dyDescent="0.25">
      <c r="G1585" s="6"/>
      <c r="H1585" s="6"/>
    </row>
    <row r="1597" spans="6:8" x14ac:dyDescent="0.25">
      <c r="F1597" s="27"/>
    </row>
    <row r="1605" spans="6:6" x14ac:dyDescent="0.25">
      <c r="F1605" s="26"/>
    </row>
    <row r="1606" spans="6:6" x14ac:dyDescent="0.25">
      <c r="F1606" s="27"/>
    </row>
    <row r="1612" spans="6:6" x14ac:dyDescent="0.25">
      <c r="F1612" s="27"/>
    </row>
    <row r="1614" spans="6:6" x14ac:dyDescent="0.25">
      <c r="F1614" s="27"/>
    </row>
    <row r="1622" spans="6:6" x14ac:dyDescent="0.25">
      <c r="F1622" s="26"/>
    </row>
    <row r="1623" spans="6:6" x14ac:dyDescent="0.25">
      <c r="F1623" s="27"/>
    </row>
    <row r="1626" spans="6:6" x14ac:dyDescent="0.25">
      <c r="F1626" s="26"/>
    </row>
    <row r="1627" spans="6:6" x14ac:dyDescent="0.25">
      <c r="F1627" s="27"/>
    </row>
    <row r="1629" spans="6:6" x14ac:dyDescent="0.25">
      <c r="F1629" s="26"/>
    </row>
    <row r="1630" spans="6:6" x14ac:dyDescent="0.25">
      <c r="F1630" s="26"/>
    </row>
    <row r="1633" spans="6:8" x14ac:dyDescent="0.25">
      <c r="F1633" s="26"/>
    </row>
    <row r="1636" spans="6:8" x14ac:dyDescent="0.25">
      <c r="F1636" s="26"/>
    </row>
    <row r="1641" spans="6:8" x14ac:dyDescent="0.25">
      <c r="F1641" s="26"/>
    </row>
    <row r="1642" spans="6:8" x14ac:dyDescent="0.25">
      <c r="F1642" s="27"/>
    </row>
    <row r="1643" spans="6:8" x14ac:dyDescent="0.25">
      <c r="F1643" s="27"/>
    </row>
    <row r="1646" spans="6:8" x14ac:dyDescent="0.25">
      <c r="G1646" s="6"/>
      <c r="H1646" s="6"/>
    </row>
    <row r="1647" spans="6:8" x14ac:dyDescent="0.25">
      <c r="F1647" s="27"/>
    </row>
    <row r="1651" spans="6:6" x14ac:dyDescent="0.25">
      <c r="F1651" s="27"/>
    </row>
    <row r="1655" spans="6:6" x14ac:dyDescent="0.25">
      <c r="F1655" s="27"/>
    </row>
    <row r="1660" spans="6:6" x14ac:dyDescent="0.25">
      <c r="F1660" s="26"/>
    </row>
    <row r="1661" spans="6:6" x14ac:dyDescent="0.25">
      <c r="F1661" s="27"/>
    </row>
    <row r="1662" spans="6:6" x14ac:dyDescent="0.25">
      <c r="F1662" s="27"/>
    </row>
    <row r="1666" spans="6:11" x14ac:dyDescent="0.25">
      <c r="F1666" s="27"/>
    </row>
    <row r="1669" spans="6:11" x14ac:dyDescent="0.25">
      <c r="F1669" s="27"/>
    </row>
    <row r="1672" spans="6:11" x14ac:dyDescent="0.25">
      <c r="F1672" s="27"/>
    </row>
    <row r="1673" spans="6:11" x14ac:dyDescent="0.25">
      <c r="K1673" s="5"/>
    </row>
    <row r="1676" spans="6:11" x14ac:dyDescent="0.25">
      <c r="F1676" s="27"/>
    </row>
    <row r="1677" spans="6:11" x14ac:dyDescent="0.25">
      <c r="F1677" s="27"/>
    </row>
    <row r="1678" spans="6:11" x14ac:dyDescent="0.25">
      <c r="F1678" s="27"/>
    </row>
    <row r="1680" spans="6:11" x14ac:dyDescent="0.25">
      <c r="F1680" s="26"/>
    </row>
    <row r="1681" spans="6:8" x14ac:dyDescent="0.25">
      <c r="F1681" s="27"/>
    </row>
    <row r="1692" spans="6:8" x14ac:dyDescent="0.25">
      <c r="G1692" s="6"/>
      <c r="H1692" s="6"/>
    </row>
    <row r="1695" spans="6:8" x14ac:dyDescent="0.25">
      <c r="F1695" s="26"/>
    </row>
    <row r="1696" spans="6:8" x14ac:dyDescent="0.25">
      <c r="F1696" s="27"/>
    </row>
    <row r="1700" spans="6:8" x14ac:dyDescent="0.25">
      <c r="F1700" s="26"/>
    </row>
    <row r="1701" spans="6:8" x14ac:dyDescent="0.25">
      <c r="F1701" s="27"/>
    </row>
    <row r="1708" spans="6:8" x14ac:dyDescent="0.25">
      <c r="G1708" s="6"/>
      <c r="H1708" s="6"/>
    </row>
    <row r="1709" spans="6:8" x14ac:dyDescent="0.25">
      <c r="G1709" s="6"/>
      <c r="H1709" s="6"/>
    </row>
    <row r="1711" spans="6:8" x14ac:dyDescent="0.25">
      <c r="G1711" s="6"/>
      <c r="H1711" s="6"/>
    </row>
    <row r="1712" spans="6:8" x14ac:dyDescent="0.25">
      <c r="G1712" s="6"/>
      <c r="H1712" s="6"/>
    </row>
    <row r="1714" spans="6:10" x14ac:dyDescent="0.25">
      <c r="G1714" s="6"/>
      <c r="H1714" s="6"/>
    </row>
    <row r="1718" spans="6:10" x14ac:dyDescent="0.25">
      <c r="F1718" s="26"/>
    </row>
    <row r="1719" spans="6:10" x14ac:dyDescent="0.25">
      <c r="F1719" s="27"/>
    </row>
    <row r="1721" spans="6:10" x14ac:dyDescent="0.25">
      <c r="F1721" s="26"/>
    </row>
    <row r="1722" spans="6:10" x14ac:dyDescent="0.25">
      <c r="F1722" s="27"/>
    </row>
    <row r="1723" spans="6:10" x14ac:dyDescent="0.25">
      <c r="I1723" s="7"/>
      <c r="J1723" s="16"/>
    </row>
    <row r="1724" spans="6:10" x14ac:dyDescent="0.25">
      <c r="F1724" s="26"/>
    </row>
    <row r="1727" spans="6:10" x14ac:dyDescent="0.25">
      <c r="F1727" s="26"/>
    </row>
    <row r="1730" spans="6:6" x14ac:dyDescent="0.25">
      <c r="F1730" s="26"/>
    </row>
    <row r="1733" spans="6:6" x14ac:dyDescent="0.25">
      <c r="F1733" s="26"/>
    </row>
    <row r="1734" spans="6:6" x14ac:dyDescent="0.25">
      <c r="F1734" s="27"/>
    </row>
    <row r="1748" spans="6:8" x14ac:dyDescent="0.25">
      <c r="F1748" s="26"/>
    </row>
    <row r="1749" spans="6:8" x14ac:dyDescent="0.25">
      <c r="F1749" s="27"/>
    </row>
    <row r="1752" spans="6:8" x14ac:dyDescent="0.25">
      <c r="F1752" s="26"/>
    </row>
    <row r="1753" spans="6:8" x14ac:dyDescent="0.25">
      <c r="F1753" s="27"/>
    </row>
    <row r="1758" spans="6:8" x14ac:dyDescent="0.25">
      <c r="G1758" s="6"/>
      <c r="H1758" s="6"/>
    </row>
    <row r="1762" spans="6:8" x14ac:dyDescent="0.25">
      <c r="G1762" s="6"/>
      <c r="H1762" s="6"/>
    </row>
    <row r="1766" spans="6:8" x14ac:dyDescent="0.25">
      <c r="G1766" s="6"/>
      <c r="H1766" s="6"/>
    </row>
    <row r="1768" spans="6:8" x14ac:dyDescent="0.25">
      <c r="F1768" s="26"/>
    </row>
    <row r="1770" spans="6:8" x14ac:dyDescent="0.25">
      <c r="F1770" s="26"/>
    </row>
    <row r="1771" spans="6:8" x14ac:dyDescent="0.25">
      <c r="F1771" s="27"/>
    </row>
    <row r="1773" spans="6:8" x14ac:dyDescent="0.25">
      <c r="G1773" s="6"/>
      <c r="H1773" s="6"/>
    </row>
    <row r="1774" spans="6:8" x14ac:dyDescent="0.25">
      <c r="G1774" s="6"/>
      <c r="H1774" s="6"/>
    </row>
    <row r="1775" spans="6:8" x14ac:dyDescent="0.25">
      <c r="G1775" s="6"/>
      <c r="H1775" s="6"/>
    </row>
    <row r="1776" spans="6:8" x14ac:dyDescent="0.25">
      <c r="G1776" s="6"/>
      <c r="H1776" s="6"/>
    </row>
    <row r="1779" spans="6:8" x14ac:dyDescent="0.25">
      <c r="G1779" s="6"/>
      <c r="H1779" s="6"/>
    </row>
    <row r="1780" spans="6:8" x14ac:dyDescent="0.25">
      <c r="G1780" s="6"/>
      <c r="H1780" s="6"/>
    </row>
    <row r="1782" spans="6:8" x14ac:dyDescent="0.25">
      <c r="G1782" s="6"/>
      <c r="H1782" s="6"/>
    </row>
    <row r="1784" spans="6:8" x14ac:dyDescent="0.25">
      <c r="G1784" s="6"/>
      <c r="H1784" s="6"/>
    </row>
    <row r="1785" spans="6:8" x14ac:dyDescent="0.25">
      <c r="G1785" s="6"/>
      <c r="H1785" s="6"/>
    </row>
    <row r="1786" spans="6:8" x14ac:dyDescent="0.25">
      <c r="G1786" s="6"/>
      <c r="H1786" s="6"/>
    </row>
    <row r="1787" spans="6:8" x14ac:dyDescent="0.25">
      <c r="G1787" s="6"/>
      <c r="H1787" s="6"/>
    </row>
    <row r="1788" spans="6:8" x14ac:dyDescent="0.25">
      <c r="G1788" s="6"/>
      <c r="H1788" s="6"/>
    </row>
    <row r="1790" spans="6:8" x14ac:dyDescent="0.25">
      <c r="F1790" s="26"/>
      <c r="G1790" s="6"/>
      <c r="H1790" s="6"/>
    </row>
    <row r="1791" spans="6:8" x14ac:dyDescent="0.25">
      <c r="F1791" s="27"/>
      <c r="G1791" s="6"/>
      <c r="H1791" s="6"/>
    </row>
    <row r="1793" spans="6:8" x14ac:dyDescent="0.25">
      <c r="G1793" s="6"/>
      <c r="H1793" s="6"/>
    </row>
    <row r="1794" spans="6:8" x14ac:dyDescent="0.25">
      <c r="F1794" s="26"/>
      <c r="G1794" s="6"/>
      <c r="H1794" s="6"/>
    </row>
    <row r="1796" spans="6:8" x14ac:dyDescent="0.25">
      <c r="G1796" s="6"/>
      <c r="H1796" s="6"/>
    </row>
    <row r="1797" spans="6:8" x14ac:dyDescent="0.25">
      <c r="G1797" s="6"/>
      <c r="H1797" s="6"/>
    </row>
    <row r="1799" spans="6:8" x14ac:dyDescent="0.25">
      <c r="G1799" s="6"/>
      <c r="H1799" s="6"/>
    </row>
    <row r="1801" spans="6:8" x14ac:dyDescent="0.25">
      <c r="G1801" s="6"/>
      <c r="H1801" s="6"/>
    </row>
    <row r="1803" spans="6:8" x14ac:dyDescent="0.25">
      <c r="G1803" s="6"/>
      <c r="H1803" s="6"/>
    </row>
    <row r="1804" spans="6:8" x14ac:dyDescent="0.25">
      <c r="G1804" s="6"/>
      <c r="H1804" s="6"/>
    </row>
    <row r="1806" spans="6:8" x14ac:dyDescent="0.25">
      <c r="F1806" s="26"/>
      <c r="G1806" s="6"/>
      <c r="H1806" s="6"/>
    </row>
    <row r="1807" spans="6:8" x14ac:dyDescent="0.25">
      <c r="F1807" s="27"/>
      <c r="G1807" s="6"/>
      <c r="H1807" s="6"/>
    </row>
    <row r="1809" spans="6:8" x14ac:dyDescent="0.25">
      <c r="G1809" s="6"/>
      <c r="H1809" s="6"/>
    </row>
    <row r="1810" spans="6:8" x14ac:dyDescent="0.25">
      <c r="G1810" s="6"/>
      <c r="H1810" s="6"/>
    </row>
    <row r="1812" spans="6:8" x14ac:dyDescent="0.25">
      <c r="G1812" s="6"/>
      <c r="H1812" s="6"/>
    </row>
    <row r="1813" spans="6:8" x14ac:dyDescent="0.25">
      <c r="G1813" s="6"/>
      <c r="H1813" s="6"/>
    </row>
    <row r="1814" spans="6:8" x14ac:dyDescent="0.25">
      <c r="G1814" s="6"/>
      <c r="H1814" s="6"/>
    </row>
    <row r="1816" spans="6:8" x14ac:dyDescent="0.25">
      <c r="G1816" s="6"/>
      <c r="H1816" s="6"/>
    </row>
    <row r="1817" spans="6:8" x14ac:dyDescent="0.25">
      <c r="F1817" s="26"/>
      <c r="G1817" s="6"/>
      <c r="H1817" s="6"/>
    </row>
    <row r="1818" spans="6:8" x14ac:dyDescent="0.25">
      <c r="F1818" s="27"/>
      <c r="G1818" s="6"/>
      <c r="H1818" s="6"/>
    </row>
    <row r="1819" spans="6:8" x14ac:dyDescent="0.25">
      <c r="F1819" s="27"/>
    </row>
    <row r="1820" spans="6:8" x14ac:dyDescent="0.25">
      <c r="G1820" s="6"/>
      <c r="H1820" s="6"/>
    </row>
    <row r="1821" spans="6:8" x14ac:dyDescent="0.25">
      <c r="F1821" s="26"/>
    </row>
    <row r="1822" spans="6:8" x14ac:dyDescent="0.25">
      <c r="F1822" s="27"/>
      <c r="G1822" s="6"/>
      <c r="H1822" s="6"/>
    </row>
    <row r="1823" spans="6:8" x14ac:dyDescent="0.25">
      <c r="G1823" s="6"/>
      <c r="H1823" s="6"/>
    </row>
    <row r="1824" spans="6:8" x14ac:dyDescent="0.25">
      <c r="F1824" s="27"/>
    </row>
    <row r="1825" spans="6:8" x14ac:dyDescent="0.25">
      <c r="F1825" s="27"/>
      <c r="G1825" s="6"/>
      <c r="H1825" s="6"/>
    </row>
    <row r="1826" spans="6:8" x14ac:dyDescent="0.25">
      <c r="G1826" s="6"/>
      <c r="H1826" s="6"/>
    </row>
    <row r="1827" spans="6:8" x14ac:dyDescent="0.25">
      <c r="F1827" s="27"/>
    </row>
    <row r="1828" spans="6:8" x14ac:dyDescent="0.25">
      <c r="F1828" s="27"/>
    </row>
    <row r="1831" spans="6:8" x14ac:dyDescent="0.25">
      <c r="G1831" s="6"/>
      <c r="H1831" s="6"/>
    </row>
    <row r="1833" spans="6:8" x14ac:dyDescent="0.25">
      <c r="F1833" s="27"/>
    </row>
    <row r="1850" spans="6:6" x14ac:dyDescent="0.25">
      <c r="F1850" s="26"/>
    </row>
    <row r="1851" spans="6:6" x14ac:dyDescent="0.25">
      <c r="F1851" s="27"/>
    </row>
    <row r="1852" spans="6:6" x14ac:dyDescent="0.25">
      <c r="F1852" s="27"/>
    </row>
    <row r="1853" spans="6:6" x14ac:dyDescent="0.25">
      <c r="F1853" s="27"/>
    </row>
    <row r="1855" spans="6:6" x14ac:dyDescent="0.25">
      <c r="F1855" s="27"/>
    </row>
    <row r="1856" spans="6:6" x14ac:dyDescent="0.25">
      <c r="F1856" s="27"/>
    </row>
    <row r="1857" spans="6:6" x14ac:dyDescent="0.25">
      <c r="F1857" s="27"/>
    </row>
    <row r="1858" spans="6:6" x14ac:dyDescent="0.25">
      <c r="F1858" s="27"/>
    </row>
    <row r="1860" spans="6:6" x14ac:dyDescent="0.25">
      <c r="F1860" s="27"/>
    </row>
    <row r="1864" spans="6:6" x14ac:dyDescent="0.25">
      <c r="F1864" s="27"/>
    </row>
    <row r="1874" spans="6:6" x14ac:dyDescent="0.25">
      <c r="F1874" s="26"/>
    </row>
    <row r="1875" spans="6:6" x14ac:dyDescent="0.25">
      <c r="F1875" s="27"/>
    </row>
    <row r="1894" spans="6:6" x14ac:dyDescent="0.25">
      <c r="F1894" s="26"/>
    </row>
    <row r="1895" spans="6:6" x14ac:dyDescent="0.25">
      <c r="F1895" s="27"/>
    </row>
    <row r="1909" spans="6:6" x14ac:dyDescent="0.25">
      <c r="F1909" s="26"/>
    </row>
    <row r="1910" spans="6:6" x14ac:dyDescent="0.25">
      <c r="F1910" s="27"/>
    </row>
    <row r="1931" spans="6:6" x14ac:dyDescent="0.25">
      <c r="F1931" s="26"/>
    </row>
    <row r="1932" spans="6:6" x14ac:dyDescent="0.25">
      <c r="F1932" s="27"/>
    </row>
    <row r="1950" spans="6:6" x14ac:dyDescent="0.25">
      <c r="F1950" s="26"/>
    </row>
    <row r="1951" spans="6:6" x14ac:dyDescent="0.25">
      <c r="F1951" s="27"/>
    </row>
    <row r="1967" spans="6:6" x14ac:dyDescent="0.25">
      <c r="F1967" s="26"/>
    </row>
    <row r="1968" spans="6:6" x14ac:dyDescent="0.25">
      <c r="F1968" s="27"/>
    </row>
    <row r="1983" spans="6:6" x14ac:dyDescent="0.25">
      <c r="F1983" s="26"/>
    </row>
    <row r="1984" spans="6:6" x14ac:dyDescent="0.25">
      <c r="F1984" s="27"/>
    </row>
    <row r="1995" spans="7:8" x14ac:dyDescent="0.25">
      <c r="G1995" s="6"/>
      <c r="H1995" s="6"/>
    </row>
    <row r="1999" spans="7:8" x14ac:dyDescent="0.25">
      <c r="G1999" s="6"/>
      <c r="H1999" s="6"/>
    </row>
    <row r="2004" spans="6:8" x14ac:dyDescent="0.25">
      <c r="G2004" s="6"/>
      <c r="H2004" s="6"/>
    </row>
    <row r="2007" spans="6:8" x14ac:dyDescent="0.25">
      <c r="F2007" s="26"/>
    </row>
    <row r="2008" spans="6:8" x14ac:dyDescent="0.25">
      <c r="F2008" s="27"/>
    </row>
    <row r="2026" spans="6:8" x14ac:dyDescent="0.25">
      <c r="F2026" s="26"/>
    </row>
    <row r="2027" spans="6:8" x14ac:dyDescent="0.25">
      <c r="F2027" s="27"/>
    </row>
    <row r="2032" spans="6:8" x14ac:dyDescent="0.25">
      <c r="G2032" s="6"/>
      <c r="H2032" s="6"/>
    </row>
    <row r="2033" spans="6:8" x14ac:dyDescent="0.25">
      <c r="G2033" s="6"/>
      <c r="H2033" s="6"/>
    </row>
    <row r="2043" spans="6:8" x14ac:dyDescent="0.25">
      <c r="F2043" s="26"/>
    </row>
    <row r="2044" spans="6:8" x14ac:dyDescent="0.25">
      <c r="F2044" s="27"/>
    </row>
    <row r="2056" spans="7:8" x14ac:dyDescent="0.25">
      <c r="G2056" s="6"/>
      <c r="H2056" s="6"/>
    </row>
    <row r="2066" spans="6:6" x14ac:dyDescent="0.25">
      <c r="F2066" s="26"/>
    </row>
    <row r="2067" spans="6:6" x14ac:dyDescent="0.25">
      <c r="F2067" s="27"/>
    </row>
    <row r="2086" spans="6:6" x14ac:dyDescent="0.25">
      <c r="F2086" s="26"/>
    </row>
    <row r="2087" spans="6:6" x14ac:dyDescent="0.25">
      <c r="F2087" s="27"/>
    </row>
    <row r="2112" spans="6:6" x14ac:dyDescent="0.25">
      <c r="F2112" s="26"/>
    </row>
    <row r="2113" spans="6:6" x14ac:dyDescent="0.25">
      <c r="F2113" s="27"/>
    </row>
    <row r="2132" spans="6:6" x14ac:dyDescent="0.25">
      <c r="F2132" s="26"/>
    </row>
    <row r="2133" spans="6:6" x14ac:dyDescent="0.25">
      <c r="F2133" s="27"/>
    </row>
    <row r="2148" spans="6:8" x14ac:dyDescent="0.25">
      <c r="F2148" s="26"/>
    </row>
    <row r="2149" spans="6:8" x14ac:dyDescent="0.25">
      <c r="F2149" s="27"/>
    </row>
    <row r="2160" spans="6:8" x14ac:dyDescent="0.25">
      <c r="G2160" s="6"/>
      <c r="H2160" s="6"/>
    </row>
    <row r="2161" spans="6:8" x14ac:dyDescent="0.25">
      <c r="G2161" s="6"/>
      <c r="H2161" s="6"/>
    </row>
    <row r="2163" spans="6:8" x14ac:dyDescent="0.25">
      <c r="G2163" s="6"/>
      <c r="H2163" s="6"/>
    </row>
    <row r="2164" spans="6:8" x14ac:dyDescent="0.25">
      <c r="F2164" s="26"/>
    </row>
    <row r="2165" spans="6:8" x14ac:dyDescent="0.25">
      <c r="F2165" s="27"/>
    </row>
    <row r="2172" spans="6:8" x14ac:dyDescent="0.25">
      <c r="G2172" s="6"/>
      <c r="H2172" s="6"/>
    </row>
    <row r="2173" spans="6:8" x14ac:dyDescent="0.25">
      <c r="G2173" s="6"/>
      <c r="H2173" s="6"/>
    </row>
    <row r="2177" spans="6:8" x14ac:dyDescent="0.25">
      <c r="G2177" s="6"/>
      <c r="H2177" s="6"/>
    </row>
    <row r="2181" spans="6:8" x14ac:dyDescent="0.25">
      <c r="G2181" s="6"/>
      <c r="H2181" s="6"/>
    </row>
    <row r="2189" spans="6:8" x14ac:dyDescent="0.25">
      <c r="F2189" s="26"/>
    </row>
    <row r="2190" spans="6:8" x14ac:dyDescent="0.25">
      <c r="F2190" s="27"/>
    </row>
    <row r="2210" spans="6:6" x14ac:dyDescent="0.25">
      <c r="F2210" s="26"/>
    </row>
    <row r="2214" spans="6:6" x14ac:dyDescent="0.25">
      <c r="F2214" s="26"/>
    </row>
    <row r="2215" spans="6:6" x14ac:dyDescent="0.25">
      <c r="F2215" s="27"/>
    </row>
    <row r="2216" spans="6:6" x14ac:dyDescent="0.25">
      <c r="F2216" s="27"/>
    </row>
    <row r="2229" spans="6:8" x14ac:dyDescent="0.25">
      <c r="F2229" s="26"/>
    </row>
    <row r="2230" spans="6:8" x14ac:dyDescent="0.25">
      <c r="F2230" s="27"/>
      <c r="G2230" s="6"/>
      <c r="H2230" s="6"/>
    </row>
    <row r="2235" spans="6:8" x14ac:dyDescent="0.25">
      <c r="G2235" s="6"/>
      <c r="H2235" s="6"/>
    </row>
    <row r="2236" spans="6:8" x14ac:dyDescent="0.25">
      <c r="G2236" s="6"/>
      <c r="H2236" s="6"/>
    </row>
    <row r="2251" spans="6:6" x14ac:dyDescent="0.25">
      <c r="F2251" s="26"/>
    </row>
    <row r="2252" spans="6:6" x14ac:dyDescent="0.25">
      <c r="F2252" s="27"/>
    </row>
    <row r="2269" spans="6:8" x14ac:dyDescent="0.25">
      <c r="F2269" s="26"/>
    </row>
    <row r="2270" spans="6:8" x14ac:dyDescent="0.25">
      <c r="F2270" s="27"/>
    </row>
    <row r="2272" spans="6:8" x14ac:dyDescent="0.25">
      <c r="G2272" s="6"/>
      <c r="H2272" s="6"/>
    </row>
    <row r="2276" spans="7:8" x14ac:dyDescent="0.25">
      <c r="G2276" s="6"/>
      <c r="H2276" s="6"/>
    </row>
    <row r="2277" spans="7:8" x14ac:dyDescent="0.25">
      <c r="G2277" s="6"/>
      <c r="H2277" s="6"/>
    </row>
    <row r="2297" spans="6:6" x14ac:dyDescent="0.25">
      <c r="F2297" s="26"/>
    </row>
    <row r="2298" spans="6:6" x14ac:dyDescent="0.25">
      <c r="F2298" s="27"/>
    </row>
    <row r="2315" spans="6:6" x14ac:dyDescent="0.25">
      <c r="F2315" s="26"/>
    </row>
    <row r="2316" spans="6:6" x14ac:dyDescent="0.25">
      <c r="F2316" s="27"/>
    </row>
    <row r="2328" spans="6:6" x14ac:dyDescent="0.25">
      <c r="F2328" s="26"/>
    </row>
    <row r="2329" spans="6:6" x14ac:dyDescent="0.25">
      <c r="F2329" s="27"/>
    </row>
    <row r="2354" spans="6:6" x14ac:dyDescent="0.25">
      <c r="F2354" s="26"/>
    </row>
    <row r="2355" spans="6:6" x14ac:dyDescent="0.25">
      <c r="F2355" s="27"/>
    </row>
    <row r="2379" spans="6:6" x14ac:dyDescent="0.25">
      <c r="F2379" s="26"/>
    </row>
    <row r="2380" spans="6:6" x14ac:dyDescent="0.25">
      <c r="F2380" s="27"/>
    </row>
    <row r="2395" spans="6:6" x14ac:dyDescent="0.25">
      <c r="F2395" s="26"/>
    </row>
    <row r="2396" spans="6:6" x14ac:dyDescent="0.25">
      <c r="F2396" s="27"/>
    </row>
    <row r="2415" spans="6:6" x14ac:dyDescent="0.25">
      <c r="F2415" s="26"/>
    </row>
    <row r="2416" spans="6:6" x14ac:dyDescent="0.25">
      <c r="F2416" s="27"/>
    </row>
    <row r="2429" spans="6:6" x14ac:dyDescent="0.25">
      <c r="F2429" s="26"/>
    </row>
    <row r="2430" spans="6:6" x14ac:dyDescent="0.25">
      <c r="F2430" s="27"/>
    </row>
    <row r="2447" spans="6:6" x14ac:dyDescent="0.25">
      <c r="F2447" s="26"/>
    </row>
    <row r="2448" spans="6:6" x14ac:dyDescent="0.25">
      <c r="F2448" s="27"/>
    </row>
    <row r="2471" spans="6:11" x14ac:dyDescent="0.25">
      <c r="K2471" s="8"/>
    </row>
    <row r="2472" spans="6:11" x14ac:dyDescent="0.25">
      <c r="F2472" s="26"/>
    </row>
    <row r="2473" spans="6:11" x14ac:dyDescent="0.25">
      <c r="F2473" s="27"/>
    </row>
    <row r="2491" spans="6:10" x14ac:dyDescent="0.25">
      <c r="F2491" s="26"/>
    </row>
    <row r="2492" spans="6:10" x14ac:dyDescent="0.25">
      <c r="F2492" s="27"/>
    </row>
    <row r="2494" spans="6:10" x14ac:dyDescent="0.25">
      <c r="I2494" s="9"/>
      <c r="J2494" s="16"/>
    </row>
    <row r="2496" spans="6:10" x14ac:dyDescent="0.25">
      <c r="I2496" s="9"/>
      <c r="J2496" s="16"/>
    </row>
    <row r="2498" spans="6:10" x14ac:dyDescent="0.25">
      <c r="I2498" s="9"/>
      <c r="J2498" s="16"/>
    </row>
    <row r="2500" spans="6:10" x14ac:dyDescent="0.25">
      <c r="I2500" s="9"/>
      <c r="J2500" s="16"/>
    </row>
    <row r="2502" spans="6:10" x14ac:dyDescent="0.25">
      <c r="I2502" s="9"/>
      <c r="J2502" s="16"/>
    </row>
    <row r="2503" spans="6:10" x14ac:dyDescent="0.25">
      <c r="F2503" s="26"/>
    </row>
    <row r="2504" spans="6:10" x14ac:dyDescent="0.25">
      <c r="F2504" s="27"/>
      <c r="I2504" s="9"/>
      <c r="J2504" s="16"/>
    </row>
    <row r="2506" spans="6:10" x14ac:dyDescent="0.25">
      <c r="I2506" s="9"/>
      <c r="J2506" s="16"/>
    </row>
    <row r="2508" spans="6:10" x14ac:dyDescent="0.25">
      <c r="I2508" s="9"/>
      <c r="J2508" s="16"/>
    </row>
    <row r="2510" spans="6:10" x14ac:dyDescent="0.25">
      <c r="I2510" s="9"/>
      <c r="J2510" s="16"/>
    </row>
    <row r="2512" spans="6:10" x14ac:dyDescent="0.25">
      <c r="I2512" s="9"/>
      <c r="J2512" s="16"/>
    </row>
    <row r="2513" spans="6:11" x14ac:dyDescent="0.25">
      <c r="F2513" s="26"/>
    </row>
    <row r="2514" spans="6:11" x14ac:dyDescent="0.25">
      <c r="F2514" s="27"/>
    </row>
    <row r="2515" spans="6:11" x14ac:dyDescent="0.25">
      <c r="I2515" s="9"/>
      <c r="J2515" s="16"/>
    </row>
    <row r="2517" spans="6:11" x14ac:dyDescent="0.25">
      <c r="I2517" s="9"/>
      <c r="J2517" s="16"/>
    </row>
    <row r="2519" spans="6:11" x14ac:dyDescent="0.25">
      <c r="I2519" s="9"/>
      <c r="J2519" s="16"/>
    </row>
    <row r="2521" spans="6:11" x14ac:dyDescent="0.25">
      <c r="I2521" s="9"/>
      <c r="J2521" s="16"/>
    </row>
    <row r="2523" spans="6:11" x14ac:dyDescent="0.25">
      <c r="I2523" s="9"/>
      <c r="J2523" s="16"/>
    </row>
    <row r="2524" spans="6:11" x14ac:dyDescent="0.25">
      <c r="I2524" s="9"/>
      <c r="J2524" s="16"/>
    </row>
    <row r="2526" spans="6:11" x14ac:dyDescent="0.25">
      <c r="I2526" s="9"/>
      <c r="J2526" s="16"/>
      <c r="K2526" s="8"/>
    </row>
    <row r="2528" spans="6:11" x14ac:dyDescent="0.25">
      <c r="I2528" s="9"/>
      <c r="J2528" s="16"/>
    </row>
    <row r="2530" spans="6:10" x14ac:dyDescent="0.25">
      <c r="I2530" s="9"/>
      <c r="J2530" s="16"/>
    </row>
    <row r="2531" spans="6:10" x14ac:dyDescent="0.25">
      <c r="F2531" s="26"/>
    </row>
    <row r="2532" spans="6:10" x14ac:dyDescent="0.25">
      <c r="F2532" s="27"/>
      <c r="I2532" s="9"/>
      <c r="J2532" s="16"/>
    </row>
    <row r="2554" spans="6:6" x14ac:dyDescent="0.25">
      <c r="F2554" s="26"/>
    </row>
    <row r="2555" spans="6:6" x14ac:dyDescent="0.25">
      <c r="F2555" s="27"/>
    </row>
    <row r="2572" spans="9:11" x14ac:dyDescent="0.25">
      <c r="I2572" s="9"/>
      <c r="J2572" s="16"/>
    </row>
    <row r="2573" spans="9:11" x14ac:dyDescent="0.25">
      <c r="K2573" s="8"/>
    </row>
    <row r="2574" spans="9:11" x14ac:dyDescent="0.25">
      <c r="K2574" s="8"/>
    </row>
    <row r="2577" spans="6:10" x14ac:dyDescent="0.25">
      <c r="F2577" s="26"/>
      <c r="I2577" s="9"/>
      <c r="J2577" s="16"/>
    </row>
    <row r="2578" spans="6:10" x14ac:dyDescent="0.25">
      <c r="F2578" s="27"/>
    </row>
    <row r="2579" spans="6:10" x14ac:dyDescent="0.25">
      <c r="I2579" s="9"/>
      <c r="J2579" s="16"/>
    </row>
    <row r="2603" spans="6:10" x14ac:dyDescent="0.25">
      <c r="F2603" s="26"/>
      <c r="I2603" s="9"/>
      <c r="J2603" s="16"/>
    </row>
    <row r="2604" spans="6:10" x14ac:dyDescent="0.25">
      <c r="F2604" s="27"/>
    </row>
    <row r="2605" spans="6:10" x14ac:dyDescent="0.25">
      <c r="I2605" s="9"/>
      <c r="J2605" s="16"/>
    </row>
    <row r="2606" spans="6:10" x14ac:dyDescent="0.25">
      <c r="I2606" s="9"/>
      <c r="J2606" s="16"/>
    </row>
    <row r="2608" spans="6:10" x14ac:dyDescent="0.25">
      <c r="I2608" s="9"/>
      <c r="J2608" s="16"/>
    </row>
    <row r="2609" spans="6:10" x14ac:dyDescent="0.25">
      <c r="I2609" s="9"/>
      <c r="J2609" s="16"/>
    </row>
    <row r="2611" spans="6:10" x14ac:dyDescent="0.25">
      <c r="I2611" s="9"/>
      <c r="J2611" s="16"/>
    </row>
    <row r="2612" spans="6:10" x14ac:dyDescent="0.25">
      <c r="I2612" s="9"/>
      <c r="J2612" s="16"/>
    </row>
    <row r="2614" spans="6:10" x14ac:dyDescent="0.25">
      <c r="I2614" s="9"/>
      <c r="J2614" s="16"/>
    </row>
    <row r="2615" spans="6:10" x14ac:dyDescent="0.25">
      <c r="I2615" s="9"/>
      <c r="J2615" s="16"/>
    </row>
    <row r="2617" spans="6:10" x14ac:dyDescent="0.25">
      <c r="I2617" s="9"/>
      <c r="J2617" s="16"/>
    </row>
    <row r="2618" spans="6:10" x14ac:dyDescent="0.25">
      <c r="I2618" s="9"/>
      <c r="J2618" s="16"/>
    </row>
    <row r="2620" spans="6:10" x14ac:dyDescent="0.25">
      <c r="I2620" s="9"/>
      <c r="J2620" s="16"/>
    </row>
    <row r="2621" spans="6:10" x14ac:dyDescent="0.25">
      <c r="F2621" s="26"/>
    </row>
    <row r="2622" spans="6:10" x14ac:dyDescent="0.25">
      <c r="F2622" s="27"/>
      <c r="I2622" s="9"/>
      <c r="J2622" s="16"/>
    </row>
    <row r="2623" spans="6:10" x14ac:dyDescent="0.25">
      <c r="I2623" s="9"/>
      <c r="J2623" s="16"/>
    </row>
    <row r="2625" spans="9:10" x14ac:dyDescent="0.25">
      <c r="I2625" s="9"/>
      <c r="J2625" s="16"/>
    </row>
    <row r="2626" spans="9:10" x14ac:dyDescent="0.25">
      <c r="I2626" s="9"/>
      <c r="J2626" s="16"/>
    </row>
    <row r="2627" spans="9:10" x14ac:dyDescent="0.25">
      <c r="I2627" s="9"/>
      <c r="J2627" s="16"/>
    </row>
    <row r="2629" spans="9:10" x14ac:dyDescent="0.25">
      <c r="I2629" s="9"/>
      <c r="J2629" s="16"/>
    </row>
    <row r="2630" spans="9:10" x14ac:dyDescent="0.25">
      <c r="I2630" s="9"/>
      <c r="J2630" s="16"/>
    </row>
    <row r="2632" spans="9:10" x14ac:dyDescent="0.25">
      <c r="I2632" s="9"/>
      <c r="J2632" s="16"/>
    </row>
    <row r="2633" spans="9:10" x14ac:dyDescent="0.25">
      <c r="I2633" s="9"/>
      <c r="J2633" s="16"/>
    </row>
    <row r="2634" spans="9:10" x14ac:dyDescent="0.25">
      <c r="I2634" s="9"/>
      <c r="J2634" s="16"/>
    </row>
    <row r="2636" spans="9:10" x14ac:dyDescent="0.25">
      <c r="I2636" s="9"/>
      <c r="J2636" s="16"/>
    </row>
    <row r="2638" spans="9:10" x14ac:dyDescent="0.25">
      <c r="I2638" s="9"/>
      <c r="J2638" s="16"/>
    </row>
    <row r="2639" spans="9:10" x14ac:dyDescent="0.25">
      <c r="I2639" s="9"/>
      <c r="J2639" s="16"/>
    </row>
    <row r="2641" spans="6:10" x14ac:dyDescent="0.25">
      <c r="F2641" s="26"/>
      <c r="I2641" s="9"/>
      <c r="J2641" s="16"/>
    </row>
    <row r="2642" spans="6:10" x14ac:dyDescent="0.25">
      <c r="F2642" s="27"/>
      <c r="I2642" s="9"/>
      <c r="J2642" s="16"/>
    </row>
    <row r="2644" spans="6:10" x14ac:dyDescent="0.25">
      <c r="I2644" s="9"/>
      <c r="J2644" s="16"/>
    </row>
    <row r="2645" spans="6:10" x14ac:dyDescent="0.25">
      <c r="I2645" s="9"/>
      <c r="J2645" s="16"/>
    </row>
    <row r="2646" spans="6:10" x14ac:dyDescent="0.25">
      <c r="I2646" s="9"/>
      <c r="J2646" s="16"/>
    </row>
    <row r="2647" spans="6:10" x14ac:dyDescent="0.25">
      <c r="I2647" s="9"/>
      <c r="J2647" s="16"/>
    </row>
    <row r="2649" spans="6:10" x14ac:dyDescent="0.25">
      <c r="I2649" s="9"/>
      <c r="J2649" s="16"/>
    </row>
    <row r="2650" spans="6:10" x14ac:dyDescent="0.25">
      <c r="I2650" s="9"/>
      <c r="J2650" s="16"/>
    </row>
    <row r="2651" spans="6:10" x14ac:dyDescent="0.25">
      <c r="I2651" s="9"/>
      <c r="J2651" s="16"/>
    </row>
    <row r="2652" spans="6:10" x14ac:dyDescent="0.25">
      <c r="I2652" s="9"/>
      <c r="J2652" s="16"/>
    </row>
    <row r="2654" spans="6:10" x14ac:dyDescent="0.25">
      <c r="I2654" s="9"/>
      <c r="J2654" s="16"/>
    </row>
    <row r="2655" spans="6:10" x14ac:dyDescent="0.25">
      <c r="I2655" s="9"/>
      <c r="J2655" s="16"/>
    </row>
    <row r="2657" spans="6:11" x14ac:dyDescent="0.25">
      <c r="I2657" s="9"/>
      <c r="J2657" s="16"/>
    </row>
    <row r="2659" spans="6:11" x14ac:dyDescent="0.25">
      <c r="I2659" s="9"/>
      <c r="J2659" s="16"/>
    </row>
    <row r="2660" spans="6:11" x14ac:dyDescent="0.25">
      <c r="F2660" s="26"/>
    </row>
    <row r="2661" spans="6:11" x14ac:dyDescent="0.25">
      <c r="F2661" s="27"/>
      <c r="I2661" s="9"/>
      <c r="J2661" s="16"/>
    </row>
    <row r="2662" spans="6:11" x14ac:dyDescent="0.25">
      <c r="I2662" s="9"/>
      <c r="J2662" s="16"/>
    </row>
    <row r="2663" spans="6:11" x14ac:dyDescent="0.25">
      <c r="I2663" s="9"/>
      <c r="J2663" s="16"/>
    </row>
    <row r="2665" spans="6:11" x14ac:dyDescent="0.25">
      <c r="I2665" s="9"/>
      <c r="J2665" s="16"/>
    </row>
    <row r="2666" spans="6:11" x14ac:dyDescent="0.25">
      <c r="I2666" s="9"/>
      <c r="J2666" s="16"/>
      <c r="K2666" s="5"/>
    </row>
    <row r="2667" spans="6:11" x14ac:dyDescent="0.25">
      <c r="I2667" s="9"/>
      <c r="J2667" s="16"/>
    </row>
    <row r="2669" spans="6:11" x14ac:dyDescent="0.25">
      <c r="I2669" s="9"/>
      <c r="J2669" s="16"/>
    </row>
    <row r="2670" spans="6:11" x14ac:dyDescent="0.25">
      <c r="I2670" s="9"/>
      <c r="J2670" s="16"/>
    </row>
    <row r="2671" spans="6:11" x14ac:dyDescent="0.25">
      <c r="I2671" s="9"/>
      <c r="J2671" s="16"/>
    </row>
    <row r="2673" spans="6:10" x14ac:dyDescent="0.25">
      <c r="I2673" s="9"/>
      <c r="J2673" s="16"/>
    </row>
    <row r="2674" spans="6:10" x14ac:dyDescent="0.25">
      <c r="I2674" s="9"/>
      <c r="J2674" s="16"/>
    </row>
    <row r="2676" spans="6:10" x14ac:dyDescent="0.25">
      <c r="I2676" s="9"/>
      <c r="J2676" s="16"/>
    </row>
    <row r="2677" spans="6:10" x14ac:dyDescent="0.25">
      <c r="I2677" s="9"/>
      <c r="J2677" s="16"/>
    </row>
    <row r="2679" spans="6:10" x14ac:dyDescent="0.25">
      <c r="I2679" s="9"/>
      <c r="J2679" s="16"/>
    </row>
    <row r="2680" spans="6:10" x14ac:dyDescent="0.25">
      <c r="I2680" s="9"/>
      <c r="J2680" s="16"/>
    </row>
    <row r="2681" spans="6:10" x14ac:dyDescent="0.25">
      <c r="I2681" s="9"/>
      <c r="J2681" s="16"/>
    </row>
    <row r="2683" spans="6:10" x14ac:dyDescent="0.25">
      <c r="F2683" s="26"/>
      <c r="I2683" s="9"/>
      <c r="J2683" s="16"/>
    </row>
    <row r="2684" spans="6:10" x14ac:dyDescent="0.25">
      <c r="F2684" s="27"/>
      <c r="G2684" s="9"/>
      <c r="H2684" s="9"/>
    </row>
    <row r="2685" spans="6:10" x14ac:dyDescent="0.25">
      <c r="I2685" s="9"/>
      <c r="J2685" s="16"/>
    </row>
    <row r="2687" spans="6:10" x14ac:dyDescent="0.25">
      <c r="I2687" s="9"/>
      <c r="J2687" s="16"/>
    </row>
    <row r="2688" spans="6:10" x14ac:dyDescent="0.25">
      <c r="I2688" s="9"/>
      <c r="J2688" s="16"/>
    </row>
    <row r="2689" spans="6:11" x14ac:dyDescent="0.25">
      <c r="I2689" s="9"/>
      <c r="J2689" s="16"/>
    </row>
    <row r="2691" spans="6:11" x14ac:dyDescent="0.25">
      <c r="I2691" s="9"/>
      <c r="J2691" s="16"/>
    </row>
    <row r="2692" spans="6:11" x14ac:dyDescent="0.25">
      <c r="I2692" s="9"/>
      <c r="J2692" s="16"/>
    </row>
    <row r="2694" spans="6:11" x14ac:dyDescent="0.25">
      <c r="I2694" s="9"/>
      <c r="J2694" s="16"/>
    </row>
    <row r="2695" spans="6:11" x14ac:dyDescent="0.25">
      <c r="I2695" s="9"/>
      <c r="J2695" s="16"/>
    </row>
    <row r="2696" spans="6:11" x14ac:dyDescent="0.25">
      <c r="I2696" s="9"/>
      <c r="J2696" s="16"/>
      <c r="K2696" s="8"/>
    </row>
    <row r="2698" spans="6:11" x14ac:dyDescent="0.25">
      <c r="I2698" s="9"/>
      <c r="J2698" s="16"/>
    </row>
    <row r="2699" spans="6:11" x14ac:dyDescent="0.25">
      <c r="I2699" s="9"/>
      <c r="J2699" s="16"/>
    </row>
    <row r="2700" spans="6:11" x14ac:dyDescent="0.25">
      <c r="I2700" s="9"/>
      <c r="J2700" s="16"/>
    </row>
    <row r="2702" spans="6:11" x14ac:dyDescent="0.25">
      <c r="F2702" s="26"/>
      <c r="I2702" s="9"/>
      <c r="J2702" s="16"/>
    </row>
    <row r="2703" spans="6:11" x14ac:dyDescent="0.25">
      <c r="F2703" s="27"/>
      <c r="I2703" s="9"/>
      <c r="J2703" s="16"/>
    </row>
    <row r="2705" spans="6:10" x14ac:dyDescent="0.25">
      <c r="I2705" s="9"/>
      <c r="J2705" s="16"/>
    </row>
    <row r="2706" spans="6:10" x14ac:dyDescent="0.25">
      <c r="I2706" s="9"/>
      <c r="J2706" s="16"/>
    </row>
    <row r="2707" spans="6:10" x14ac:dyDescent="0.25">
      <c r="I2707" s="9"/>
      <c r="J2707" s="16"/>
    </row>
    <row r="2709" spans="6:10" x14ac:dyDescent="0.25">
      <c r="I2709" s="9"/>
      <c r="J2709" s="16"/>
    </row>
    <row r="2710" spans="6:10" x14ac:dyDescent="0.25">
      <c r="I2710" s="9"/>
      <c r="J2710" s="16"/>
    </row>
    <row r="2712" spans="6:10" x14ac:dyDescent="0.25">
      <c r="I2712" s="9"/>
      <c r="J2712" s="16"/>
    </row>
    <row r="2714" spans="6:10" x14ac:dyDescent="0.25">
      <c r="I2714" s="9"/>
      <c r="J2714" s="16"/>
    </row>
    <row r="2715" spans="6:10" x14ac:dyDescent="0.25">
      <c r="I2715" s="9"/>
      <c r="J2715" s="16"/>
    </row>
    <row r="2717" spans="6:10" x14ac:dyDescent="0.25">
      <c r="F2717" s="26"/>
      <c r="I2717" s="9"/>
      <c r="J2717" s="16"/>
    </row>
    <row r="2718" spans="6:10" x14ac:dyDescent="0.25">
      <c r="F2718" s="27"/>
      <c r="I2718" s="9"/>
      <c r="J2718" s="16"/>
    </row>
    <row r="2720" spans="6:10" x14ac:dyDescent="0.25">
      <c r="I2720" s="9"/>
      <c r="J2720" s="16"/>
    </row>
    <row r="2721" spans="6:10" x14ac:dyDescent="0.25">
      <c r="I2721" s="9"/>
      <c r="J2721" s="16"/>
    </row>
    <row r="2722" spans="6:10" x14ac:dyDescent="0.25">
      <c r="I2722" s="9"/>
      <c r="J2722" s="16"/>
    </row>
    <row r="2724" spans="6:10" x14ac:dyDescent="0.25">
      <c r="I2724" s="9"/>
      <c r="J2724" s="16"/>
    </row>
    <row r="2725" spans="6:10" x14ac:dyDescent="0.25">
      <c r="I2725" s="9"/>
      <c r="J2725" s="16"/>
    </row>
    <row r="2727" spans="6:10" x14ac:dyDescent="0.25">
      <c r="I2727" s="9"/>
      <c r="J2727" s="16"/>
    </row>
    <row r="2728" spans="6:10" x14ac:dyDescent="0.25">
      <c r="I2728" s="9"/>
      <c r="J2728" s="16"/>
    </row>
    <row r="2730" spans="6:10" x14ac:dyDescent="0.25">
      <c r="I2730" s="9"/>
      <c r="J2730" s="16"/>
    </row>
    <row r="2731" spans="6:10" x14ac:dyDescent="0.25">
      <c r="I2731" s="9"/>
      <c r="J2731" s="16"/>
    </row>
    <row r="2732" spans="6:10" x14ac:dyDescent="0.25">
      <c r="I2732" s="9"/>
      <c r="J2732" s="16"/>
    </row>
    <row r="2734" spans="6:10" x14ac:dyDescent="0.25">
      <c r="F2734" s="26"/>
      <c r="I2734" s="9"/>
      <c r="J2734" s="16"/>
    </row>
    <row r="2735" spans="6:10" x14ac:dyDescent="0.25">
      <c r="F2735" s="27"/>
      <c r="I2735" s="9"/>
      <c r="J2735" s="16"/>
    </row>
    <row r="2737" spans="6:10" x14ac:dyDescent="0.25">
      <c r="I2737" s="9"/>
      <c r="J2737" s="16"/>
    </row>
    <row r="2738" spans="6:10" x14ac:dyDescent="0.25">
      <c r="I2738" s="9"/>
      <c r="J2738" s="16"/>
    </row>
    <row r="2740" spans="6:10" x14ac:dyDescent="0.25">
      <c r="I2740" s="9"/>
      <c r="J2740" s="16"/>
    </row>
    <row r="2741" spans="6:10" x14ac:dyDescent="0.25">
      <c r="I2741" s="9"/>
      <c r="J2741" s="16"/>
    </row>
    <row r="2743" spans="6:10" x14ac:dyDescent="0.25">
      <c r="I2743" s="9"/>
      <c r="J2743" s="16"/>
    </row>
    <row r="2744" spans="6:10" x14ac:dyDescent="0.25">
      <c r="I2744" s="9"/>
      <c r="J2744" s="16"/>
    </row>
    <row r="2746" spans="6:10" x14ac:dyDescent="0.25">
      <c r="I2746" s="9"/>
      <c r="J2746" s="16"/>
    </row>
    <row r="2747" spans="6:10" x14ac:dyDescent="0.25">
      <c r="I2747" s="9"/>
      <c r="J2747" s="16"/>
    </row>
    <row r="2749" spans="6:10" x14ac:dyDescent="0.25">
      <c r="F2749" s="26"/>
      <c r="I2749" s="9"/>
      <c r="J2749" s="16"/>
    </row>
    <row r="2750" spans="6:10" x14ac:dyDescent="0.25">
      <c r="F2750" s="27"/>
      <c r="I2750" s="9"/>
      <c r="J2750" s="16"/>
    </row>
    <row r="2751" spans="6:10" x14ac:dyDescent="0.25">
      <c r="I2751" s="9"/>
      <c r="J2751" s="16"/>
    </row>
    <row r="2753" spans="6:10" x14ac:dyDescent="0.25">
      <c r="I2753" s="9"/>
      <c r="J2753" s="16"/>
    </row>
    <row r="2754" spans="6:10" x14ac:dyDescent="0.25">
      <c r="I2754" s="9"/>
      <c r="J2754" s="16"/>
    </row>
    <row r="2756" spans="6:10" x14ac:dyDescent="0.25">
      <c r="I2756" s="9"/>
      <c r="J2756" s="16"/>
    </row>
    <row r="2757" spans="6:10" x14ac:dyDescent="0.25">
      <c r="I2757" s="9"/>
      <c r="J2757" s="16"/>
    </row>
    <row r="2759" spans="6:10" x14ac:dyDescent="0.25">
      <c r="I2759" s="9"/>
      <c r="J2759" s="16"/>
    </row>
    <row r="2766" spans="6:10" x14ac:dyDescent="0.25">
      <c r="I2766" s="9"/>
      <c r="J2766" s="16"/>
    </row>
    <row r="2767" spans="6:10" x14ac:dyDescent="0.25">
      <c r="F2767" s="26"/>
      <c r="I2767" s="9"/>
      <c r="J2767" s="16"/>
    </row>
    <row r="2768" spans="6:10" x14ac:dyDescent="0.25">
      <c r="F2768" s="27"/>
      <c r="I2768" s="9"/>
      <c r="J2768" s="16"/>
    </row>
    <row r="2770" spans="9:10" x14ac:dyDescent="0.25">
      <c r="I2770" s="9"/>
      <c r="J2770" s="16"/>
    </row>
    <row r="2771" spans="9:10" x14ac:dyDescent="0.25">
      <c r="I2771" s="9"/>
      <c r="J2771" s="16"/>
    </row>
    <row r="2773" spans="9:10" x14ac:dyDescent="0.25">
      <c r="I2773" s="9"/>
      <c r="J2773" s="16"/>
    </row>
    <row r="2774" spans="9:10" x14ac:dyDescent="0.25">
      <c r="I2774" s="9"/>
      <c r="J2774" s="16"/>
    </row>
    <row r="2775" spans="9:10" x14ac:dyDescent="0.25">
      <c r="I2775" s="9"/>
      <c r="J2775" s="16"/>
    </row>
    <row r="2777" spans="9:10" x14ac:dyDescent="0.25">
      <c r="I2777" s="9"/>
      <c r="J2777" s="16"/>
    </row>
    <row r="2778" spans="9:10" x14ac:dyDescent="0.25">
      <c r="I2778" s="9"/>
      <c r="J2778" s="16"/>
    </row>
    <row r="2780" spans="9:10" x14ac:dyDescent="0.25">
      <c r="I2780" s="9"/>
      <c r="J2780" s="16"/>
    </row>
    <row r="2782" spans="9:10" x14ac:dyDescent="0.25">
      <c r="I2782" s="9"/>
      <c r="J2782" s="16"/>
    </row>
    <row r="2784" spans="9:10" x14ac:dyDescent="0.25">
      <c r="I2784" s="9"/>
      <c r="J2784" s="16"/>
    </row>
    <row r="2785" spans="6:10" x14ac:dyDescent="0.25">
      <c r="F2785" s="26"/>
    </row>
    <row r="2786" spans="6:10" x14ac:dyDescent="0.25">
      <c r="F2786" s="27"/>
    </row>
    <row r="2788" spans="6:10" x14ac:dyDescent="0.25">
      <c r="I2788" s="9"/>
      <c r="J2788" s="16"/>
    </row>
    <row r="2790" spans="6:10" x14ac:dyDescent="0.25">
      <c r="I2790" s="9"/>
      <c r="J2790" s="16"/>
    </row>
    <row r="2798" spans="6:10" x14ac:dyDescent="0.25">
      <c r="I2798" s="9"/>
      <c r="J2798" s="16"/>
    </row>
    <row r="2800" spans="6:10" x14ac:dyDescent="0.25">
      <c r="I2800" s="9"/>
      <c r="J2800" s="16"/>
    </row>
    <row r="2801" spans="6:10" x14ac:dyDescent="0.25">
      <c r="I2801" s="9"/>
      <c r="J2801" s="16"/>
    </row>
    <row r="2803" spans="6:10" x14ac:dyDescent="0.25">
      <c r="I2803" s="9"/>
      <c r="J2803" s="16"/>
    </row>
    <row r="2805" spans="6:10" x14ac:dyDescent="0.25">
      <c r="I2805" s="9"/>
      <c r="J2805" s="16"/>
    </row>
    <row r="2806" spans="6:10" x14ac:dyDescent="0.25">
      <c r="F2806" s="26"/>
      <c r="I2806" s="9"/>
      <c r="J2806" s="16"/>
    </row>
    <row r="2807" spans="6:10" x14ac:dyDescent="0.25">
      <c r="F2807" s="27"/>
    </row>
    <row r="2808" spans="6:10" x14ac:dyDescent="0.25">
      <c r="I2808" s="9"/>
      <c r="J2808" s="16"/>
    </row>
    <row r="2809" spans="6:10" x14ac:dyDescent="0.25">
      <c r="I2809" s="9"/>
      <c r="J2809" s="16"/>
    </row>
    <row r="2810" spans="6:10" x14ac:dyDescent="0.25">
      <c r="I2810" s="9"/>
      <c r="J2810" s="16"/>
    </row>
    <row r="2812" spans="6:10" x14ac:dyDescent="0.25">
      <c r="I2812" s="9"/>
      <c r="J2812" s="16"/>
    </row>
    <row r="2813" spans="6:10" x14ac:dyDescent="0.25">
      <c r="I2813" s="9"/>
      <c r="J2813" s="16"/>
    </row>
    <row r="2815" spans="6:10" x14ac:dyDescent="0.25">
      <c r="I2815" s="9"/>
      <c r="J2815" s="16"/>
    </row>
    <row r="2820" spans="6:12" x14ac:dyDescent="0.25">
      <c r="L2820" s="7"/>
    </row>
    <row r="2826" spans="6:12" x14ac:dyDescent="0.25">
      <c r="F2826" s="26"/>
    </row>
    <row r="2827" spans="6:12" x14ac:dyDescent="0.25">
      <c r="F2827" s="27"/>
    </row>
    <row r="2842" spans="6:10" x14ac:dyDescent="0.25">
      <c r="I2842" s="9"/>
      <c r="J2842" s="16"/>
    </row>
    <row r="2843" spans="6:10" x14ac:dyDescent="0.25">
      <c r="I2843" s="9"/>
      <c r="J2843" s="16"/>
    </row>
    <row r="2844" spans="6:10" x14ac:dyDescent="0.25">
      <c r="I2844" s="9"/>
      <c r="J2844" s="16"/>
    </row>
    <row r="2847" spans="6:10" x14ac:dyDescent="0.25">
      <c r="F2847" s="26"/>
    </row>
    <row r="2848" spans="6:10" x14ac:dyDescent="0.25">
      <c r="F2848" s="27"/>
      <c r="I2848" s="9"/>
      <c r="J2848" s="16"/>
    </row>
    <row r="2849" spans="9:10" x14ac:dyDescent="0.25">
      <c r="I2849" s="9"/>
      <c r="J2849" s="16"/>
    </row>
    <row r="2850" spans="9:10" x14ac:dyDescent="0.25">
      <c r="I2850" s="9"/>
      <c r="J2850" s="16"/>
    </row>
    <row r="2852" spans="9:10" x14ac:dyDescent="0.25">
      <c r="I2852" s="9"/>
      <c r="J2852" s="16"/>
    </row>
    <row r="2855" spans="9:10" x14ac:dyDescent="0.25">
      <c r="I2855" s="9"/>
      <c r="J2855" s="16"/>
    </row>
    <row r="2858" spans="9:10" x14ac:dyDescent="0.25">
      <c r="I2858" s="9"/>
      <c r="J2858" s="16"/>
    </row>
    <row r="2861" spans="9:10" x14ac:dyDescent="0.25">
      <c r="I2861" s="9"/>
      <c r="J2861" s="16"/>
    </row>
    <row r="2864" spans="9:10" x14ac:dyDescent="0.25">
      <c r="I2864" s="9"/>
      <c r="J2864" s="16"/>
    </row>
    <row r="2869" spans="6:10" x14ac:dyDescent="0.25">
      <c r="I2869" s="9"/>
      <c r="J2869" s="16"/>
    </row>
    <row r="2871" spans="6:10" x14ac:dyDescent="0.25">
      <c r="F2871" s="26"/>
    </row>
    <row r="2872" spans="6:10" x14ac:dyDescent="0.25">
      <c r="F2872" s="27"/>
      <c r="I2872" s="9"/>
      <c r="J2872" s="16"/>
    </row>
    <row r="2877" spans="6:10" x14ac:dyDescent="0.25">
      <c r="I2877" s="9"/>
      <c r="J2877" s="16"/>
    </row>
    <row r="2878" spans="6:10" x14ac:dyDescent="0.25">
      <c r="I2878" s="9"/>
      <c r="J2878" s="16"/>
    </row>
    <row r="2881" spans="9:10" x14ac:dyDescent="0.25">
      <c r="I2881" s="9"/>
      <c r="J2881" s="16"/>
    </row>
    <row r="2882" spans="9:10" x14ac:dyDescent="0.25">
      <c r="I2882" s="9"/>
      <c r="J2882" s="16"/>
    </row>
    <row r="2883" spans="9:10" x14ac:dyDescent="0.25">
      <c r="I2883" s="9"/>
      <c r="J2883" s="16"/>
    </row>
    <row r="2885" spans="9:10" x14ac:dyDescent="0.25">
      <c r="I2885" s="9"/>
      <c r="J2885" s="16"/>
    </row>
    <row r="2886" spans="9:10" x14ac:dyDescent="0.25">
      <c r="I2886" s="9"/>
      <c r="J2886" s="16"/>
    </row>
    <row r="2888" spans="9:10" x14ac:dyDescent="0.25">
      <c r="I2888" s="9"/>
      <c r="J2888" s="16"/>
    </row>
    <row r="2889" spans="9:10" x14ac:dyDescent="0.25">
      <c r="I2889" s="9"/>
      <c r="J2889" s="16"/>
    </row>
    <row r="2892" spans="9:10" x14ac:dyDescent="0.25">
      <c r="I2892" s="9"/>
      <c r="J2892" s="16"/>
    </row>
    <row r="2894" spans="9:10" x14ac:dyDescent="0.25">
      <c r="I2894" s="9"/>
      <c r="J2894" s="16"/>
    </row>
    <row r="2895" spans="9:10" x14ac:dyDescent="0.25">
      <c r="I2895" s="9"/>
      <c r="J2895" s="16"/>
    </row>
    <row r="2899" spans="6:10" x14ac:dyDescent="0.25">
      <c r="H2899" s="9"/>
      <c r="I2899" s="9"/>
      <c r="J2899" s="16"/>
    </row>
    <row r="2900" spans="6:10" x14ac:dyDescent="0.25">
      <c r="H2900" s="9"/>
      <c r="I2900" s="9"/>
      <c r="J2900" s="16"/>
    </row>
    <row r="2901" spans="6:10" x14ac:dyDescent="0.25">
      <c r="H2901" s="9"/>
      <c r="I2901" s="9"/>
      <c r="J2901" s="16"/>
    </row>
    <row r="2902" spans="6:10" x14ac:dyDescent="0.25">
      <c r="F2902" s="26"/>
      <c r="H2902" s="9"/>
      <c r="I2902" s="9"/>
      <c r="J2902" s="16"/>
    </row>
    <row r="2903" spans="6:10" x14ac:dyDescent="0.25">
      <c r="F2903" s="27"/>
      <c r="H2903" s="9"/>
      <c r="I2903" s="9"/>
      <c r="J2903" s="16"/>
    </row>
    <row r="2905" spans="6:10" x14ac:dyDescent="0.25">
      <c r="H2905" s="9"/>
    </row>
    <row r="2906" spans="6:10" x14ac:dyDescent="0.25">
      <c r="H2906" s="9"/>
      <c r="I2906" s="9"/>
      <c r="J2906" s="16"/>
    </row>
    <row r="2907" spans="6:10" x14ac:dyDescent="0.25">
      <c r="H2907" s="9"/>
    </row>
    <row r="2908" spans="6:10" x14ac:dyDescent="0.25">
      <c r="H2908" s="9"/>
      <c r="I2908" s="9"/>
      <c r="J2908" s="16"/>
    </row>
    <row r="2909" spans="6:10" x14ac:dyDescent="0.25">
      <c r="H2909" s="9"/>
      <c r="I2909" s="9"/>
      <c r="J2909" s="16"/>
    </row>
    <row r="2911" spans="6:10" x14ac:dyDescent="0.25">
      <c r="H2911" s="9"/>
      <c r="I2911" s="9"/>
      <c r="J2911" s="16"/>
    </row>
    <row r="2912" spans="6:10" x14ac:dyDescent="0.25">
      <c r="H2912" s="9"/>
      <c r="I2912" s="9"/>
      <c r="J2912" s="16"/>
    </row>
    <row r="2913" spans="6:10" x14ac:dyDescent="0.25">
      <c r="H2913" s="9"/>
      <c r="I2913" s="9"/>
      <c r="J2913" s="16"/>
    </row>
    <row r="2914" spans="6:10" x14ac:dyDescent="0.25">
      <c r="H2914" s="9"/>
      <c r="I2914" s="9"/>
      <c r="J2914" s="16"/>
    </row>
    <row r="2915" spans="6:10" x14ac:dyDescent="0.25">
      <c r="I2915" s="9"/>
      <c r="J2915" s="16"/>
    </row>
    <row r="2916" spans="6:10" x14ac:dyDescent="0.25">
      <c r="H2916" s="9"/>
      <c r="I2916" s="9"/>
      <c r="J2916" s="16"/>
    </row>
    <row r="2917" spans="6:10" x14ac:dyDescent="0.25">
      <c r="G2917" s="9"/>
      <c r="H2917" s="9"/>
      <c r="I2917" s="9"/>
      <c r="J2917" s="16"/>
    </row>
    <row r="2919" spans="6:10" x14ac:dyDescent="0.25">
      <c r="G2919" s="9"/>
      <c r="H2919" s="9"/>
      <c r="I2919" s="9"/>
      <c r="J2919" s="16"/>
    </row>
    <row r="2920" spans="6:10" x14ac:dyDescent="0.25">
      <c r="H2920" s="9"/>
      <c r="I2920" s="9"/>
      <c r="J2920" s="16"/>
    </row>
    <row r="2921" spans="6:10" x14ac:dyDescent="0.25">
      <c r="G2921" s="9"/>
      <c r="H2921" s="9"/>
      <c r="I2921" s="9"/>
      <c r="J2921" s="16"/>
    </row>
    <row r="2923" spans="6:10" x14ac:dyDescent="0.25">
      <c r="G2923" s="9"/>
      <c r="H2923" s="9"/>
      <c r="I2923" s="9"/>
      <c r="J2923" s="16"/>
    </row>
    <row r="2924" spans="6:10" x14ac:dyDescent="0.25">
      <c r="G2924" s="9"/>
      <c r="H2924" s="9"/>
      <c r="I2924" s="9"/>
      <c r="J2924" s="16"/>
    </row>
    <row r="2926" spans="6:10" x14ac:dyDescent="0.25">
      <c r="F2926" s="26"/>
      <c r="G2926" s="9"/>
      <c r="H2926" s="9"/>
      <c r="I2926" s="9"/>
      <c r="J2926" s="16"/>
    </row>
    <row r="2927" spans="6:10" x14ac:dyDescent="0.25">
      <c r="F2927" s="27"/>
    </row>
    <row r="2928" spans="6:10" x14ac:dyDescent="0.25">
      <c r="G2928" s="9"/>
      <c r="H2928" s="9"/>
      <c r="I2928" s="9"/>
      <c r="J2928" s="16"/>
    </row>
    <row r="2929" spans="7:10" x14ac:dyDescent="0.25">
      <c r="H2929" s="9"/>
    </row>
    <row r="2930" spans="7:10" x14ac:dyDescent="0.25">
      <c r="G2930" s="9"/>
      <c r="H2930" s="9"/>
      <c r="I2930" s="9"/>
      <c r="J2930" s="16"/>
    </row>
    <row r="2932" spans="7:10" x14ac:dyDescent="0.25">
      <c r="H2932" s="9"/>
    </row>
    <row r="2933" spans="7:10" x14ac:dyDescent="0.25">
      <c r="G2933" s="9"/>
      <c r="H2933" s="9"/>
      <c r="I2933" s="9"/>
      <c r="J2933" s="16"/>
    </row>
    <row r="2934" spans="7:10" x14ac:dyDescent="0.25">
      <c r="G2934" s="9"/>
      <c r="H2934" s="9"/>
      <c r="I2934" s="9"/>
      <c r="J2934" s="16"/>
    </row>
    <row r="2935" spans="7:10" x14ac:dyDescent="0.25">
      <c r="G2935" s="9"/>
      <c r="H2935" s="9"/>
      <c r="I2935" s="9"/>
      <c r="J2935" s="16"/>
    </row>
    <row r="2936" spans="7:10" x14ac:dyDescent="0.25">
      <c r="H2936" s="9"/>
    </row>
    <row r="2938" spans="7:10" x14ac:dyDescent="0.25">
      <c r="H2938" s="9"/>
    </row>
    <row r="2939" spans="7:10" x14ac:dyDescent="0.25">
      <c r="G2939" s="9"/>
      <c r="H2939" s="9"/>
      <c r="I2939" s="9"/>
      <c r="J2939" s="16"/>
    </row>
    <row r="2940" spans="7:10" x14ac:dyDescent="0.25">
      <c r="G2940" s="9"/>
      <c r="H2940" s="9"/>
      <c r="I2940" s="9"/>
      <c r="J2940" s="16"/>
    </row>
    <row r="2941" spans="7:10" x14ac:dyDescent="0.25">
      <c r="G2941" s="9"/>
      <c r="H2941" s="9"/>
      <c r="I2941" s="9"/>
      <c r="J2941" s="16"/>
    </row>
    <row r="2943" spans="7:10" x14ac:dyDescent="0.25">
      <c r="G2943" s="9"/>
      <c r="H2943" s="9"/>
      <c r="I2943" s="9"/>
      <c r="J2943" s="16"/>
    </row>
    <row r="2944" spans="7:10" x14ac:dyDescent="0.25">
      <c r="G2944" s="9"/>
      <c r="H2944" s="9"/>
      <c r="I2944" s="9"/>
      <c r="J2944" s="16"/>
    </row>
    <row r="2946" spans="6:11" x14ac:dyDescent="0.25">
      <c r="G2946" s="9"/>
      <c r="H2946" s="9"/>
      <c r="I2946" s="9"/>
      <c r="J2946" s="16"/>
    </row>
    <row r="2947" spans="6:11" x14ac:dyDescent="0.25">
      <c r="G2947" s="9"/>
      <c r="H2947" s="9"/>
      <c r="I2947" s="9"/>
      <c r="J2947" s="16"/>
    </row>
    <row r="2948" spans="6:11" x14ac:dyDescent="0.25">
      <c r="G2948" s="9"/>
      <c r="H2948" s="9"/>
      <c r="I2948" s="9"/>
      <c r="J2948" s="16"/>
      <c r="K2948" s="8"/>
    </row>
    <row r="2949" spans="6:11" x14ac:dyDescent="0.25">
      <c r="G2949" s="9"/>
      <c r="H2949" s="9"/>
      <c r="I2949" s="9"/>
      <c r="J2949" s="16"/>
    </row>
    <row r="2951" spans="6:11" x14ac:dyDescent="0.25">
      <c r="G2951" s="9"/>
      <c r="H2951" s="9"/>
      <c r="I2951" s="9"/>
      <c r="J2951" s="16"/>
    </row>
    <row r="2952" spans="6:11" x14ac:dyDescent="0.25">
      <c r="F2952" s="26"/>
      <c r="G2952" s="9"/>
      <c r="H2952" s="9"/>
      <c r="I2952" s="9"/>
      <c r="J2952" s="16"/>
    </row>
    <row r="2953" spans="6:11" x14ac:dyDescent="0.25">
      <c r="F2953" s="27"/>
    </row>
    <row r="2954" spans="6:11" x14ac:dyDescent="0.25">
      <c r="G2954" s="9"/>
      <c r="H2954" s="9"/>
      <c r="I2954" s="9"/>
      <c r="J2954" s="16"/>
    </row>
    <row r="2955" spans="6:11" x14ac:dyDescent="0.25">
      <c r="G2955" s="9"/>
      <c r="H2955" s="9"/>
      <c r="I2955" s="9"/>
      <c r="J2955" s="16"/>
    </row>
    <row r="2957" spans="6:11" x14ac:dyDescent="0.25">
      <c r="G2957" s="9"/>
      <c r="H2957" s="9"/>
      <c r="I2957" s="9"/>
      <c r="J2957" s="16"/>
    </row>
    <row r="2958" spans="6:11" x14ac:dyDescent="0.25">
      <c r="G2958" s="9"/>
      <c r="H2958" s="9"/>
      <c r="I2958" s="9"/>
      <c r="J2958" s="16"/>
    </row>
    <row r="2959" spans="6:11" x14ac:dyDescent="0.25">
      <c r="G2959" s="9"/>
      <c r="H2959" s="9"/>
      <c r="I2959" s="9"/>
      <c r="J2959" s="16"/>
    </row>
    <row r="2961" spans="7:10" x14ac:dyDescent="0.25">
      <c r="G2961" s="9"/>
      <c r="H2961" s="9"/>
      <c r="I2961" s="9"/>
      <c r="J2961" s="16"/>
    </row>
    <row r="2962" spans="7:10" x14ac:dyDescent="0.25">
      <c r="H2962" s="9"/>
      <c r="I2962" s="9"/>
      <c r="J2962" s="16"/>
    </row>
    <row r="2963" spans="7:10" x14ac:dyDescent="0.25">
      <c r="G2963" s="9"/>
      <c r="H2963" s="9"/>
      <c r="I2963" s="9"/>
      <c r="J2963" s="16"/>
    </row>
    <row r="2964" spans="7:10" x14ac:dyDescent="0.25">
      <c r="G2964" s="9"/>
      <c r="H2964" s="9"/>
      <c r="I2964" s="9"/>
      <c r="J2964" s="16"/>
    </row>
    <row r="2966" spans="7:10" x14ac:dyDescent="0.25">
      <c r="H2966" s="9"/>
      <c r="I2966" s="9"/>
      <c r="J2966" s="16"/>
    </row>
    <row r="2967" spans="7:10" x14ac:dyDescent="0.25">
      <c r="G2967" s="9"/>
      <c r="H2967" s="9"/>
      <c r="I2967" s="9"/>
      <c r="J2967" s="16"/>
    </row>
    <row r="2968" spans="7:10" x14ac:dyDescent="0.25">
      <c r="G2968" s="9"/>
      <c r="H2968" s="9"/>
      <c r="I2968" s="9"/>
      <c r="J2968" s="16"/>
    </row>
    <row r="2970" spans="7:10" x14ac:dyDescent="0.25">
      <c r="H2970" s="9"/>
      <c r="I2970" s="9"/>
      <c r="J2970" s="16"/>
    </row>
    <row r="2971" spans="7:10" x14ac:dyDescent="0.25">
      <c r="H2971" s="9"/>
      <c r="I2971" s="9"/>
      <c r="J2971" s="16"/>
    </row>
    <row r="2972" spans="7:10" x14ac:dyDescent="0.25">
      <c r="G2972" s="9"/>
      <c r="H2972" s="9"/>
      <c r="I2972" s="9"/>
      <c r="J2972" s="16"/>
    </row>
    <row r="2973" spans="7:10" x14ac:dyDescent="0.25">
      <c r="H2973" s="9"/>
      <c r="I2973" s="9"/>
      <c r="J2973" s="16"/>
    </row>
    <row r="2974" spans="7:10" x14ac:dyDescent="0.25">
      <c r="H2974" s="9"/>
      <c r="I2974" s="9"/>
      <c r="J2974" s="16"/>
    </row>
    <row r="2976" spans="7:10" x14ac:dyDescent="0.25">
      <c r="H2976" s="9"/>
      <c r="I2976" s="9"/>
      <c r="J2976" s="16"/>
    </row>
    <row r="2977" spans="6:10" x14ac:dyDescent="0.25">
      <c r="H2977" s="9"/>
      <c r="I2977" s="9"/>
      <c r="J2977" s="16"/>
    </row>
    <row r="2979" spans="6:10" x14ac:dyDescent="0.25">
      <c r="H2979" s="9"/>
      <c r="I2979" s="9"/>
      <c r="J2979" s="16"/>
    </row>
    <row r="2980" spans="6:10" x14ac:dyDescent="0.25">
      <c r="H2980" s="9"/>
      <c r="I2980" s="9"/>
      <c r="J2980" s="16"/>
    </row>
    <row r="2982" spans="6:10" x14ac:dyDescent="0.25">
      <c r="F2982" s="26"/>
      <c r="H2982" s="9"/>
      <c r="I2982" s="9"/>
      <c r="J2982" s="16"/>
    </row>
    <row r="2983" spans="6:10" x14ac:dyDescent="0.25">
      <c r="F2983" s="27"/>
      <c r="H2983" s="9"/>
      <c r="I2983" s="9"/>
      <c r="J2983" s="16"/>
    </row>
    <row r="2985" spans="6:10" x14ac:dyDescent="0.25">
      <c r="H2985" s="9"/>
      <c r="I2985" s="9"/>
      <c r="J2985" s="16"/>
    </row>
    <row r="2986" spans="6:10" x14ac:dyDescent="0.25">
      <c r="H2986" s="9"/>
      <c r="I2986" s="9"/>
      <c r="J2986" s="16"/>
    </row>
    <row r="2988" spans="6:10" x14ac:dyDescent="0.25">
      <c r="H2988" s="9"/>
      <c r="I2988" s="9"/>
      <c r="J2988" s="16"/>
    </row>
    <row r="2989" spans="6:10" x14ac:dyDescent="0.25">
      <c r="H2989" s="9"/>
      <c r="I2989" s="9"/>
      <c r="J2989" s="16"/>
    </row>
    <row r="2991" spans="6:10" x14ac:dyDescent="0.25">
      <c r="H2991" s="9"/>
      <c r="I2991" s="9"/>
      <c r="J2991" s="16"/>
    </row>
    <row r="2992" spans="6:10" x14ac:dyDescent="0.25">
      <c r="H2992" s="9"/>
      <c r="I2992" s="9"/>
      <c r="J2992" s="16"/>
    </row>
    <row r="2994" spans="6:10" x14ac:dyDescent="0.25">
      <c r="H2994" s="9"/>
      <c r="I2994" s="9"/>
      <c r="J2994" s="16"/>
    </row>
    <row r="2995" spans="6:10" x14ac:dyDescent="0.25">
      <c r="H2995" s="9"/>
      <c r="I2995" s="9"/>
      <c r="J2995" s="16"/>
    </row>
    <row r="2996" spans="6:10" x14ac:dyDescent="0.25">
      <c r="H2996" s="9"/>
      <c r="I2996" s="9"/>
      <c r="J2996" s="16"/>
    </row>
    <row r="2997" spans="6:10" x14ac:dyDescent="0.25">
      <c r="F2997" s="26"/>
    </row>
    <row r="2998" spans="6:10" x14ac:dyDescent="0.25">
      <c r="F2998" s="27"/>
      <c r="H2998" s="9"/>
      <c r="I2998" s="9"/>
      <c r="J2998" s="16"/>
    </row>
    <row r="2999" spans="6:10" x14ac:dyDescent="0.25">
      <c r="H2999" s="9"/>
      <c r="I2999" s="9"/>
      <c r="J2999" s="16"/>
    </row>
    <row r="3000" spans="6:10" x14ac:dyDescent="0.25">
      <c r="H3000" s="9"/>
      <c r="I3000" s="9"/>
      <c r="J3000" s="16"/>
    </row>
    <row r="3002" spans="6:10" x14ac:dyDescent="0.25">
      <c r="H3002" s="9"/>
      <c r="I3002" s="9"/>
      <c r="J3002" s="16"/>
    </row>
    <row r="3003" spans="6:10" x14ac:dyDescent="0.25">
      <c r="G3003" s="9"/>
      <c r="H3003" s="9"/>
      <c r="I3003" s="9"/>
      <c r="J3003" s="16"/>
    </row>
    <row r="3004" spans="6:10" x14ac:dyDescent="0.25">
      <c r="H3004" s="9"/>
      <c r="I3004" s="9"/>
      <c r="J3004" s="16"/>
    </row>
    <row r="3005" spans="6:10" x14ac:dyDescent="0.25">
      <c r="H3005" s="9"/>
      <c r="I3005" s="9"/>
      <c r="J3005" s="16"/>
    </row>
    <row r="3007" spans="6:10" x14ac:dyDescent="0.25">
      <c r="H3007" s="9"/>
      <c r="I3007" s="9"/>
      <c r="J3007" s="16"/>
    </row>
    <row r="3008" spans="6:10" x14ac:dyDescent="0.25">
      <c r="G3008" s="9"/>
      <c r="H3008" s="9"/>
      <c r="I3008" s="9"/>
      <c r="J3008" s="16"/>
    </row>
    <row r="3009" spans="6:10" x14ac:dyDescent="0.25">
      <c r="H3009" s="9"/>
      <c r="I3009" s="9"/>
      <c r="J3009" s="16"/>
    </row>
    <row r="3011" spans="6:10" x14ac:dyDescent="0.25">
      <c r="H3011" s="9"/>
      <c r="I3011" s="9"/>
      <c r="J3011" s="16"/>
    </row>
    <row r="3012" spans="6:10" x14ac:dyDescent="0.25">
      <c r="H3012" s="9"/>
      <c r="I3012" s="9"/>
      <c r="J3012" s="16"/>
    </row>
    <row r="3014" spans="6:10" x14ac:dyDescent="0.25">
      <c r="F3014" s="26"/>
    </row>
    <row r="3015" spans="6:10" x14ac:dyDescent="0.25">
      <c r="F3015" s="27"/>
      <c r="H3015" s="9"/>
      <c r="I3015" s="9"/>
      <c r="J3015" s="16"/>
    </row>
    <row r="3016" spans="6:10" x14ac:dyDescent="0.25">
      <c r="H3016" s="9"/>
      <c r="I3016" s="9"/>
      <c r="J3016" s="16"/>
    </row>
    <row r="3018" spans="6:10" x14ac:dyDescent="0.25">
      <c r="H3018" s="9"/>
      <c r="I3018" s="9"/>
      <c r="J3018" s="16"/>
    </row>
    <row r="3019" spans="6:10" x14ac:dyDescent="0.25">
      <c r="H3019" s="9"/>
      <c r="I3019" s="9"/>
      <c r="J3019" s="16"/>
    </row>
    <row r="3021" spans="6:10" x14ac:dyDescent="0.25">
      <c r="H3021" s="9"/>
      <c r="I3021" s="9"/>
      <c r="J3021" s="16"/>
    </row>
    <row r="3022" spans="6:10" x14ac:dyDescent="0.25">
      <c r="H3022" s="9"/>
      <c r="I3022" s="9"/>
      <c r="J3022" s="16"/>
    </row>
    <row r="3024" spans="6:10" x14ac:dyDescent="0.25">
      <c r="H3024" s="9"/>
      <c r="I3024" s="9"/>
      <c r="J3024" s="16"/>
    </row>
    <row r="3025" spans="6:10" x14ac:dyDescent="0.25">
      <c r="H3025" s="9"/>
      <c r="I3025" s="9"/>
      <c r="J3025" s="16"/>
    </row>
    <row r="3027" spans="6:10" x14ac:dyDescent="0.25">
      <c r="H3027" s="9"/>
      <c r="I3027" s="9"/>
      <c r="J3027" s="16"/>
    </row>
    <row r="3028" spans="6:10" x14ac:dyDescent="0.25">
      <c r="H3028" s="9"/>
      <c r="I3028" s="9"/>
      <c r="J3028" s="16"/>
    </row>
    <row r="3030" spans="6:10" x14ac:dyDescent="0.25">
      <c r="F3030" s="26"/>
      <c r="H3030" s="9"/>
      <c r="I3030" s="9"/>
      <c r="J3030" s="16"/>
    </row>
    <row r="3031" spans="6:10" x14ac:dyDescent="0.25">
      <c r="F3031" s="27"/>
      <c r="H3031" s="9"/>
      <c r="I3031" s="9"/>
      <c r="J3031" s="16"/>
    </row>
    <row r="3032" spans="6:10" x14ac:dyDescent="0.25">
      <c r="H3032" s="9"/>
      <c r="I3032" s="9"/>
      <c r="J3032" s="16"/>
    </row>
    <row r="3034" spans="6:10" x14ac:dyDescent="0.25">
      <c r="H3034" s="9"/>
      <c r="I3034" s="9"/>
      <c r="J3034" s="16"/>
    </row>
    <row r="3035" spans="6:10" x14ac:dyDescent="0.25">
      <c r="H3035" s="9"/>
      <c r="I3035" s="9"/>
      <c r="J3035" s="16"/>
    </row>
    <row r="3037" spans="6:10" x14ac:dyDescent="0.25">
      <c r="H3037" s="9"/>
      <c r="I3037" s="9"/>
      <c r="J3037" s="16"/>
    </row>
    <row r="3038" spans="6:10" x14ac:dyDescent="0.25">
      <c r="H3038" s="9"/>
      <c r="I3038" s="9"/>
      <c r="J3038" s="16"/>
    </row>
    <row r="3040" spans="6:10" x14ac:dyDescent="0.25">
      <c r="H3040" s="9"/>
    </row>
    <row r="3041" spans="6:10" x14ac:dyDescent="0.25">
      <c r="H3041" s="9"/>
      <c r="I3041" s="9"/>
      <c r="J3041" s="16"/>
    </row>
    <row r="3042" spans="6:10" x14ac:dyDescent="0.25">
      <c r="H3042" s="9"/>
      <c r="I3042" s="9"/>
      <c r="J3042" s="16"/>
    </row>
    <row r="3044" spans="6:10" x14ac:dyDescent="0.25">
      <c r="H3044" s="9"/>
      <c r="I3044" s="9"/>
      <c r="J3044" s="16"/>
    </row>
    <row r="3045" spans="6:10" x14ac:dyDescent="0.25">
      <c r="I3045" s="9"/>
      <c r="J3045" s="16"/>
    </row>
    <row r="3047" spans="6:10" x14ac:dyDescent="0.25">
      <c r="I3047" s="9"/>
      <c r="J3047" s="16"/>
    </row>
    <row r="3049" spans="6:10" x14ac:dyDescent="0.25">
      <c r="H3049" s="9"/>
      <c r="I3049" s="9"/>
      <c r="J3049" s="16"/>
    </row>
    <row r="3051" spans="6:10" x14ac:dyDescent="0.25">
      <c r="H3051" s="9"/>
      <c r="I3051" s="9"/>
      <c r="J3051" s="16"/>
    </row>
    <row r="3052" spans="6:10" x14ac:dyDescent="0.25">
      <c r="F3052" s="26"/>
      <c r="H3052" s="9"/>
    </row>
    <row r="3053" spans="6:10" x14ac:dyDescent="0.25">
      <c r="F3053" s="27"/>
    </row>
    <row r="3054" spans="6:10" x14ac:dyDescent="0.25">
      <c r="H3054" s="9"/>
    </row>
    <row r="3055" spans="6:10" x14ac:dyDescent="0.25">
      <c r="H3055" s="9"/>
    </row>
    <row r="3056" spans="6:10" x14ac:dyDescent="0.25">
      <c r="H3056" s="9"/>
      <c r="I3056" s="9"/>
      <c r="J3056" s="16"/>
    </row>
    <row r="3058" spans="6:10" x14ac:dyDescent="0.25">
      <c r="H3058" s="9"/>
      <c r="I3058" s="9"/>
      <c r="J3058" s="16"/>
    </row>
    <row r="3059" spans="6:10" x14ac:dyDescent="0.25">
      <c r="H3059" s="9"/>
      <c r="I3059" s="9"/>
      <c r="J3059" s="16"/>
    </row>
    <row r="3060" spans="6:10" x14ac:dyDescent="0.25">
      <c r="H3060" s="9"/>
      <c r="I3060" s="9"/>
      <c r="J3060" s="16"/>
    </row>
    <row r="3061" spans="6:10" x14ac:dyDescent="0.25">
      <c r="H3061" s="9"/>
      <c r="I3061" s="9"/>
      <c r="J3061" s="16"/>
    </row>
    <row r="3063" spans="6:10" x14ac:dyDescent="0.25">
      <c r="H3063" s="9"/>
      <c r="I3063" s="9"/>
      <c r="J3063" s="16"/>
    </row>
    <row r="3064" spans="6:10" x14ac:dyDescent="0.25">
      <c r="H3064" s="9"/>
      <c r="I3064" s="9"/>
      <c r="J3064" s="16"/>
    </row>
    <row r="3065" spans="6:10" x14ac:dyDescent="0.25">
      <c r="G3065" s="9"/>
      <c r="H3065" s="9"/>
      <c r="I3065" s="9"/>
      <c r="J3065" s="16"/>
    </row>
    <row r="3066" spans="6:10" x14ac:dyDescent="0.25">
      <c r="G3066" s="9"/>
      <c r="H3066" s="9"/>
      <c r="I3066" s="9"/>
      <c r="J3066" s="16"/>
    </row>
    <row r="3068" spans="6:10" x14ac:dyDescent="0.25">
      <c r="G3068" s="9"/>
      <c r="H3068" s="9"/>
      <c r="I3068" s="9"/>
      <c r="J3068" s="16"/>
    </row>
    <row r="3069" spans="6:10" x14ac:dyDescent="0.25">
      <c r="G3069" s="9"/>
      <c r="H3069" s="9"/>
      <c r="I3069" s="9"/>
      <c r="J3069" s="16"/>
    </row>
    <row r="3071" spans="6:10" x14ac:dyDescent="0.25">
      <c r="G3071" s="9"/>
      <c r="H3071" s="9"/>
      <c r="I3071" s="9"/>
      <c r="J3071" s="16"/>
    </row>
    <row r="3072" spans="6:10" x14ac:dyDescent="0.25">
      <c r="F3072" s="26"/>
    </row>
    <row r="3073" spans="6:10" x14ac:dyDescent="0.25">
      <c r="F3073" s="27"/>
      <c r="G3073" s="9"/>
      <c r="H3073" s="9"/>
      <c r="I3073" s="9"/>
      <c r="J3073" s="16"/>
    </row>
    <row r="3074" spans="6:10" x14ac:dyDescent="0.25">
      <c r="G3074" s="9"/>
      <c r="H3074" s="9"/>
      <c r="I3074" s="9"/>
      <c r="J3074" s="16"/>
    </row>
    <row r="3075" spans="6:10" x14ac:dyDescent="0.25">
      <c r="G3075" s="9"/>
      <c r="H3075" s="9"/>
      <c r="I3075" s="9"/>
      <c r="J3075" s="16"/>
    </row>
    <row r="3076" spans="6:10" x14ac:dyDescent="0.25">
      <c r="H3076" s="9"/>
      <c r="I3076" s="9"/>
      <c r="J3076" s="16"/>
    </row>
    <row r="3078" spans="6:10" x14ac:dyDescent="0.25">
      <c r="G3078" s="9"/>
      <c r="H3078" s="9"/>
      <c r="I3078" s="9"/>
      <c r="J3078" s="16"/>
    </row>
    <row r="3079" spans="6:10" x14ac:dyDescent="0.25">
      <c r="G3079" s="9"/>
      <c r="H3079" s="9"/>
      <c r="I3079" s="9"/>
      <c r="J3079" s="16"/>
    </row>
    <row r="3080" spans="6:10" x14ac:dyDescent="0.25">
      <c r="H3080" s="9"/>
    </row>
    <row r="3081" spans="6:10" x14ac:dyDescent="0.25">
      <c r="H3081" s="9"/>
      <c r="I3081" s="9"/>
      <c r="J3081" s="16"/>
    </row>
    <row r="3082" spans="6:10" x14ac:dyDescent="0.25">
      <c r="H3082" s="9"/>
    </row>
    <row r="3083" spans="6:10" x14ac:dyDescent="0.25">
      <c r="G3083" s="9"/>
      <c r="H3083" s="9"/>
      <c r="I3083" s="9"/>
      <c r="J3083" s="16"/>
    </row>
    <row r="3085" spans="6:10" x14ac:dyDescent="0.25">
      <c r="G3085" s="9"/>
      <c r="H3085" s="9"/>
      <c r="I3085" s="9"/>
      <c r="J3085" s="16"/>
    </row>
    <row r="3086" spans="6:10" x14ac:dyDescent="0.25">
      <c r="G3086" s="9"/>
      <c r="H3086" s="9"/>
      <c r="I3086" s="9"/>
      <c r="J3086" s="16"/>
    </row>
    <row r="3087" spans="6:10" x14ac:dyDescent="0.25">
      <c r="G3087" s="9"/>
      <c r="H3087" s="9"/>
      <c r="I3087" s="9"/>
      <c r="J3087" s="16"/>
    </row>
    <row r="3089" spans="6:10" x14ac:dyDescent="0.25">
      <c r="G3089" s="9"/>
      <c r="H3089" s="9"/>
      <c r="I3089" s="9"/>
      <c r="J3089" s="16"/>
    </row>
    <row r="3090" spans="6:10" x14ac:dyDescent="0.25">
      <c r="G3090" s="9"/>
      <c r="H3090" s="9"/>
      <c r="I3090" s="9"/>
      <c r="J3090" s="16"/>
    </row>
    <row r="3091" spans="6:10" x14ac:dyDescent="0.25">
      <c r="H3091" s="9"/>
      <c r="I3091" s="9"/>
      <c r="J3091" s="16"/>
    </row>
    <row r="3092" spans="6:10" x14ac:dyDescent="0.25">
      <c r="H3092" s="9"/>
      <c r="I3092" s="9"/>
      <c r="J3092" s="16"/>
    </row>
    <row r="3093" spans="6:10" x14ac:dyDescent="0.25">
      <c r="H3093" s="9"/>
      <c r="I3093" s="9"/>
      <c r="J3093" s="16"/>
    </row>
    <row r="3094" spans="6:10" x14ac:dyDescent="0.25">
      <c r="H3094" s="9"/>
    </row>
    <row r="3096" spans="6:10" x14ac:dyDescent="0.25">
      <c r="H3096" s="9"/>
      <c r="I3096" s="9"/>
      <c r="J3096" s="16"/>
    </row>
    <row r="3097" spans="6:10" x14ac:dyDescent="0.25">
      <c r="H3097" s="9"/>
      <c r="I3097" s="9"/>
      <c r="J3097" s="16"/>
    </row>
    <row r="3098" spans="6:10" x14ac:dyDescent="0.25">
      <c r="H3098" s="9"/>
      <c r="I3098" s="9"/>
      <c r="J3098" s="16"/>
    </row>
    <row r="3100" spans="6:10" x14ac:dyDescent="0.25">
      <c r="H3100" s="9"/>
      <c r="I3100" s="9"/>
      <c r="J3100" s="16"/>
    </row>
    <row r="3101" spans="6:10" x14ac:dyDescent="0.25">
      <c r="H3101" s="9"/>
      <c r="I3101" s="9"/>
      <c r="J3101" s="16"/>
    </row>
    <row r="3103" spans="6:10" x14ac:dyDescent="0.25">
      <c r="H3103" s="9"/>
      <c r="I3103" s="9"/>
      <c r="J3103" s="16"/>
    </row>
    <row r="3104" spans="6:10" x14ac:dyDescent="0.25">
      <c r="F3104" s="26"/>
      <c r="H3104" s="9"/>
      <c r="I3104" s="9"/>
      <c r="J3104" s="16"/>
    </row>
    <row r="3105" spans="6:10" x14ac:dyDescent="0.25">
      <c r="F3105" s="27"/>
      <c r="H3105" s="9"/>
      <c r="I3105" s="9"/>
      <c r="J3105" s="16"/>
    </row>
    <row r="3106" spans="6:10" x14ac:dyDescent="0.25">
      <c r="G3106" s="9"/>
      <c r="H3106" s="9"/>
      <c r="I3106" s="9"/>
      <c r="J3106" s="16"/>
    </row>
    <row r="3108" spans="6:10" x14ac:dyDescent="0.25">
      <c r="G3108" s="9"/>
      <c r="H3108" s="9"/>
      <c r="I3108" s="9"/>
      <c r="J3108" s="16"/>
    </row>
    <row r="3109" spans="6:10" x14ac:dyDescent="0.25">
      <c r="G3109" s="9"/>
      <c r="H3109" s="9"/>
      <c r="I3109" s="9"/>
      <c r="J3109" s="16"/>
    </row>
    <row r="3111" spans="6:10" x14ac:dyDescent="0.25">
      <c r="G3111" s="9"/>
      <c r="H3111" s="9"/>
      <c r="I3111" s="9"/>
      <c r="J3111" s="16"/>
    </row>
    <row r="3112" spans="6:10" x14ac:dyDescent="0.25">
      <c r="G3112" s="9"/>
      <c r="H3112" s="9"/>
      <c r="I3112" s="9"/>
      <c r="J3112" s="16"/>
    </row>
    <row r="3114" spans="6:10" x14ac:dyDescent="0.25">
      <c r="G3114" s="9"/>
      <c r="H3114" s="9"/>
      <c r="I3114" s="9"/>
      <c r="J3114" s="16"/>
    </row>
    <row r="3115" spans="6:10" x14ac:dyDescent="0.25">
      <c r="G3115" s="9"/>
      <c r="H3115" s="9"/>
      <c r="I3115" s="9"/>
      <c r="J3115" s="16"/>
    </row>
    <row r="3116" spans="6:10" x14ac:dyDescent="0.25">
      <c r="H3116" s="9"/>
      <c r="I3116" s="9"/>
      <c r="J3116" s="16"/>
    </row>
    <row r="3118" spans="6:10" x14ac:dyDescent="0.25">
      <c r="H3118" s="9"/>
      <c r="I3118" s="9"/>
      <c r="J3118" s="16"/>
    </row>
    <row r="3119" spans="6:10" x14ac:dyDescent="0.25">
      <c r="H3119" s="9"/>
      <c r="I3119" s="9"/>
      <c r="J3119" s="16"/>
    </row>
    <row r="3121" spans="6:10" x14ac:dyDescent="0.25">
      <c r="H3121" s="9"/>
      <c r="I3121" s="9"/>
      <c r="J3121" s="16"/>
    </row>
    <row r="3122" spans="6:10" x14ac:dyDescent="0.25">
      <c r="H3122" s="9"/>
      <c r="I3122" s="9"/>
      <c r="J3122" s="16"/>
    </row>
    <row r="3124" spans="6:10" x14ac:dyDescent="0.25">
      <c r="H3124" s="9"/>
      <c r="I3124" s="9"/>
      <c r="J3124" s="16"/>
    </row>
    <row r="3125" spans="6:10" x14ac:dyDescent="0.25">
      <c r="F3125" s="26"/>
      <c r="H3125" s="9"/>
      <c r="I3125" s="9"/>
      <c r="J3125" s="16"/>
    </row>
    <row r="3126" spans="6:10" x14ac:dyDescent="0.25">
      <c r="F3126" s="27"/>
    </row>
    <row r="3127" spans="6:10" x14ac:dyDescent="0.25">
      <c r="H3127" s="9"/>
      <c r="I3127" s="9"/>
      <c r="J3127" s="16"/>
    </row>
    <row r="3128" spans="6:10" x14ac:dyDescent="0.25">
      <c r="H3128" s="9"/>
      <c r="I3128" s="9"/>
      <c r="J3128" s="16"/>
    </row>
    <row r="3130" spans="6:10" x14ac:dyDescent="0.25">
      <c r="G3130" s="9"/>
      <c r="H3130" s="9"/>
      <c r="I3130" s="9"/>
      <c r="J3130" s="16"/>
    </row>
    <row r="3131" spans="6:10" x14ac:dyDescent="0.25">
      <c r="H3131" s="9"/>
      <c r="I3131" s="9"/>
      <c r="J3131" s="16"/>
    </row>
    <row r="3132" spans="6:10" x14ac:dyDescent="0.25">
      <c r="H3132" s="9"/>
      <c r="I3132" s="9"/>
      <c r="J3132" s="16"/>
    </row>
    <row r="3134" spans="6:10" x14ac:dyDescent="0.25">
      <c r="H3134" s="9"/>
      <c r="I3134" s="9"/>
      <c r="J3134" s="16"/>
    </row>
    <row r="3135" spans="6:10" x14ac:dyDescent="0.25">
      <c r="H3135" s="9"/>
      <c r="I3135" s="9"/>
      <c r="J3135" s="16"/>
    </row>
    <row r="3137" spans="6:10" x14ac:dyDescent="0.25">
      <c r="H3137" s="9"/>
      <c r="I3137" s="9"/>
      <c r="J3137" s="16"/>
    </row>
    <row r="3138" spans="6:10" x14ac:dyDescent="0.25">
      <c r="H3138" s="9"/>
      <c r="I3138" s="9"/>
      <c r="J3138" s="16"/>
    </row>
    <row r="3142" spans="6:10" x14ac:dyDescent="0.25">
      <c r="H3142" s="9"/>
      <c r="I3142" s="9"/>
      <c r="J3142" s="16"/>
    </row>
    <row r="3143" spans="6:10" x14ac:dyDescent="0.25">
      <c r="F3143" s="26"/>
      <c r="H3143" s="9"/>
      <c r="I3143" s="9"/>
      <c r="J3143" s="16"/>
    </row>
    <row r="3144" spans="6:10" x14ac:dyDescent="0.25">
      <c r="F3144" s="27"/>
      <c r="G3144" s="9"/>
      <c r="H3144" s="9"/>
      <c r="I3144" s="9"/>
      <c r="J3144" s="16"/>
    </row>
    <row r="3146" spans="6:10" x14ac:dyDescent="0.25">
      <c r="H3146" s="9"/>
      <c r="I3146" s="9"/>
      <c r="J3146" s="16"/>
    </row>
    <row r="3147" spans="6:10" x14ac:dyDescent="0.25">
      <c r="H3147" s="9"/>
      <c r="I3147" s="9"/>
      <c r="J3147" s="16"/>
    </row>
    <row r="3148" spans="6:10" x14ac:dyDescent="0.25">
      <c r="G3148" s="9"/>
      <c r="H3148" s="9"/>
      <c r="I3148" s="9"/>
      <c r="J3148" s="16"/>
    </row>
    <row r="3150" spans="6:10" x14ac:dyDescent="0.25">
      <c r="H3150" s="9"/>
      <c r="I3150" s="9"/>
      <c r="J3150" s="16"/>
    </row>
    <row r="3151" spans="6:10" x14ac:dyDescent="0.25">
      <c r="G3151" s="9"/>
      <c r="H3151" s="9"/>
      <c r="I3151" s="9"/>
      <c r="J3151" s="16"/>
    </row>
    <row r="3152" spans="6:10" x14ac:dyDescent="0.25">
      <c r="H3152" s="9"/>
      <c r="I3152" s="9"/>
      <c r="J3152" s="16"/>
    </row>
    <row r="3154" spans="6:10" x14ac:dyDescent="0.25">
      <c r="H3154" s="9"/>
      <c r="I3154" s="9"/>
      <c r="J3154" s="16"/>
    </row>
    <row r="3155" spans="6:10" x14ac:dyDescent="0.25">
      <c r="H3155" s="9"/>
      <c r="I3155" s="9"/>
      <c r="J3155" s="16"/>
    </row>
    <row r="3156" spans="6:10" x14ac:dyDescent="0.25">
      <c r="H3156" s="9"/>
      <c r="I3156" s="9"/>
      <c r="J3156" s="16"/>
    </row>
    <row r="3158" spans="6:10" x14ac:dyDescent="0.25">
      <c r="H3158" s="9"/>
      <c r="I3158" s="9"/>
      <c r="J3158" s="16"/>
    </row>
    <row r="3159" spans="6:10" x14ac:dyDescent="0.25">
      <c r="F3159" s="26"/>
      <c r="H3159" s="9"/>
      <c r="I3159" s="9"/>
      <c r="J3159" s="16"/>
    </row>
    <row r="3160" spans="6:10" x14ac:dyDescent="0.25">
      <c r="F3160" s="27"/>
    </row>
    <row r="3161" spans="6:10" x14ac:dyDescent="0.25">
      <c r="H3161" s="9"/>
      <c r="I3161" s="9"/>
      <c r="J3161" s="16"/>
    </row>
    <row r="3163" spans="6:10" x14ac:dyDescent="0.25">
      <c r="H3163" s="9"/>
      <c r="I3163" s="9"/>
      <c r="J3163" s="16"/>
    </row>
    <row r="3164" spans="6:10" x14ac:dyDescent="0.25">
      <c r="H3164" s="9"/>
      <c r="I3164" s="9"/>
      <c r="J3164" s="16"/>
    </row>
    <row r="3166" spans="6:10" x14ac:dyDescent="0.25">
      <c r="H3166" s="9"/>
      <c r="I3166" s="9"/>
      <c r="J3166" s="16"/>
    </row>
    <row r="3167" spans="6:10" x14ac:dyDescent="0.25">
      <c r="H3167" s="9"/>
    </row>
    <row r="3168" spans="6:10" x14ac:dyDescent="0.25">
      <c r="G3168" s="9"/>
      <c r="H3168" s="9"/>
      <c r="I3168" s="9"/>
      <c r="J3168" s="16"/>
    </row>
    <row r="3169" spans="7:10" x14ac:dyDescent="0.25">
      <c r="G3169" s="9"/>
      <c r="H3169" s="9"/>
      <c r="I3169" s="9"/>
      <c r="J3169" s="16"/>
    </row>
    <row r="3170" spans="7:10" x14ac:dyDescent="0.25">
      <c r="H3170" s="9"/>
      <c r="I3170" s="9"/>
      <c r="J3170" s="16"/>
    </row>
    <row r="3172" spans="7:10" x14ac:dyDescent="0.25">
      <c r="H3172" s="9"/>
      <c r="I3172" s="9"/>
      <c r="J3172" s="16"/>
    </row>
    <row r="3173" spans="7:10" x14ac:dyDescent="0.25">
      <c r="G3173" s="9"/>
      <c r="H3173" s="9"/>
      <c r="I3173" s="9"/>
      <c r="J3173" s="16"/>
    </row>
    <row r="3174" spans="7:10" x14ac:dyDescent="0.25">
      <c r="H3174" s="9"/>
      <c r="I3174" s="9"/>
      <c r="J3174" s="16"/>
    </row>
    <row r="3175" spans="7:10" x14ac:dyDescent="0.25">
      <c r="H3175" s="9"/>
      <c r="I3175" s="9"/>
      <c r="J3175" s="16"/>
    </row>
    <row r="3176" spans="7:10" x14ac:dyDescent="0.25">
      <c r="G3176" s="9"/>
      <c r="H3176" s="9"/>
      <c r="I3176" s="9"/>
      <c r="J3176" s="16"/>
    </row>
    <row r="3178" spans="7:10" x14ac:dyDescent="0.25">
      <c r="H3178" s="9"/>
      <c r="I3178" s="9"/>
      <c r="J3178" s="16"/>
    </row>
    <row r="3179" spans="7:10" x14ac:dyDescent="0.25">
      <c r="G3179" s="9"/>
      <c r="H3179" s="9"/>
      <c r="I3179" s="9"/>
      <c r="J3179" s="16"/>
    </row>
    <row r="3180" spans="7:10" x14ac:dyDescent="0.25">
      <c r="H3180" s="9"/>
      <c r="I3180" s="9"/>
      <c r="J3180" s="16"/>
    </row>
    <row r="3181" spans="7:10" x14ac:dyDescent="0.25">
      <c r="H3181" s="9"/>
      <c r="I3181" s="9"/>
      <c r="J3181" s="16"/>
    </row>
    <row r="3182" spans="7:10" x14ac:dyDescent="0.25">
      <c r="H3182" s="9"/>
      <c r="I3182" s="9"/>
      <c r="J3182" s="16"/>
    </row>
    <row r="3184" spans="7:10" x14ac:dyDescent="0.25">
      <c r="H3184" s="9"/>
      <c r="I3184" s="9"/>
      <c r="J3184" s="16"/>
    </row>
    <row r="3185" spans="6:10" x14ac:dyDescent="0.25">
      <c r="H3185" s="9"/>
      <c r="I3185" s="9"/>
      <c r="J3185" s="16"/>
    </row>
    <row r="3187" spans="6:10" x14ac:dyDescent="0.25">
      <c r="H3187" s="9"/>
      <c r="I3187" s="9"/>
      <c r="J3187" s="16"/>
    </row>
    <row r="3188" spans="6:10" x14ac:dyDescent="0.25">
      <c r="G3188" s="9"/>
      <c r="H3188" s="9"/>
      <c r="I3188" s="9"/>
      <c r="J3188" s="16"/>
    </row>
    <row r="3189" spans="6:10" x14ac:dyDescent="0.25">
      <c r="H3189" s="9"/>
      <c r="I3189" s="9"/>
      <c r="J3189" s="16"/>
    </row>
    <row r="3190" spans="6:10" x14ac:dyDescent="0.25">
      <c r="H3190" s="9"/>
      <c r="I3190" s="9"/>
      <c r="J3190" s="16"/>
    </row>
    <row r="3191" spans="6:10" x14ac:dyDescent="0.25">
      <c r="F3191" s="26"/>
    </row>
    <row r="3192" spans="6:10" x14ac:dyDescent="0.25">
      <c r="F3192" s="27"/>
      <c r="H3192" s="9"/>
      <c r="I3192" s="9"/>
      <c r="J3192" s="16"/>
    </row>
    <row r="3193" spans="6:10" x14ac:dyDescent="0.25">
      <c r="H3193" s="9"/>
      <c r="I3193" s="9"/>
      <c r="J3193" s="16"/>
    </row>
    <row r="3195" spans="6:10" x14ac:dyDescent="0.25">
      <c r="H3195" s="9"/>
      <c r="I3195" s="9"/>
      <c r="J3195" s="16"/>
    </row>
    <row r="3196" spans="6:10" x14ac:dyDescent="0.25">
      <c r="G3196" s="9"/>
      <c r="H3196" s="9"/>
      <c r="I3196" s="9"/>
      <c r="J3196" s="16"/>
    </row>
    <row r="3197" spans="6:10" x14ac:dyDescent="0.25">
      <c r="H3197" s="9"/>
      <c r="I3197" s="9"/>
      <c r="J3197" s="16"/>
    </row>
    <row r="3199" spans="6:10" x14ac:dyDescent="0.25">
      <c r="H3199" s="9"/>
      <c r="I3199" s="9"/>
      <c r="J3199" s="16"/>
    </row>
    <row r="3200" spans="6:10" x14ac:dyDescent="0.25">
      <c r="G3200" s="9"/>
      <c r="H3200" s="9"/>
      <c r="I3200" s="9"/>
      <c r="J3200" s="16"/>
    </row>
    <row r="3201" spans="6:10" x14ac:dyDescent="0.25">
      <c r="H3201" s="9"/>
      <c r="I3201" s="9"/>
      <c r="J3201" s="16"/>
    </row>
    <row r="3202" spans="6:10" x14ac:dyDescent="0.25">
      <c r="H3202" s="9"/>
      <c r="I3202" s="9"/>
      <c r="J3202" s="16"/>
    </row>
    <row r="3204" spans="6:10" x14ac:dyDescent="0.25">
      <c r="H3204" s="9"/>
      <c r="I3204" s="9"/>
      <c r="J3204" s="16"/>
    </row>
    <row r="3205" spans="6:10" x14ac:dyDescent="0.25">
      <c r="H3205" s="9"/>
      <c r="I3205" s="9"/>
      <c r="J3205" s="16"/>
    </row>
    <row r="3207" spans="6:10" x14ac:dyDescent="0.25">
      <c r="G3207" s="9"/>
      <c r="H3207" s="9"/>
      <c r="I3207" s="9"/>
      <c r="J3207" s="16"/>
    </row>
    <row r="3209" spans="6:10" x14ac:dyDescent="0.25">
      <c r="H3209" s="9"/>
      <c r="I3209" s="9"/>
      <c r="J3209" s="16"/>
    </row>
    <row r="3210" spans="6:10" x14ac:dyDescent="0.25">
      <c r="F3210" s="26"/>
      <c r="H3210" s="9"/>
      <c r="I3210" s="9"/>
      <c r="J3210" s="16"/>
    </row>
    <row r="3211" spans="6:10" x14ac:dyDescent="0.25">
      <c r="F3211" s="27"/>
    </row>
    <row r="3212" spans="6:10" x14ac:dyDescent="0.25">
      <c r="H3212" s="9"/>
      <c r="I3212" s="9"/>
      <c r="J3212" s="16"/>
    </row>
    <row r="3213" spans="6:10" x14ac:dyDescent="0.25">
      <c r="H3213" s="9"/>
      <c r="I3213" s="9"/>
      <c r="J3213" s="16"/>
    </row>
    <row r="3215" spans="6:10" x14ac:dyDescent="0.25">
      <c r="H3215" s="9"/>
      <c r="I3215" s="9"/>
      <c r="J3215" s="16"/>
    </row>
    <row r="3216" spans="6:10" x14ac:dyDescent="0.25">
      <c r="G3216" s="9"/>
      <c r="H3216" s="9"/>
      <c r="I3216" s="9"/>
      <c r="J3216" s="16"/>
    </row>
    <row r="3217" spans="6:10" x14ac:dyDescent="0.25">
      <c r="G3217" s="9"/>
      <c r="H3217" s="9"/>
      <c r="I3217" s="9"/>
      <c r="J3217" s="16"/>
    </row>
    <row r="3218" spans="6:10" x14ac:dyDescent="0.25">
      <c r="G3218" s="9"/>
      <c r="H3218" s="9"/>
      <c r="I3218" s="9"/>
      <c r="J3218" s="16"/>
    </row>
    <row r="3219" spans="6:10" x14ac:dyDescent="0.25">
      <c r="H3219" s="9"/>
      <c r="I3219" s="9"/>
      <c r="J3219" s="16"/>
    </row>
    <row r="3220" spans="6:10" x14ac:dyDescent="0.25">
      <c r="G3220" s="9"/>
      <c r="H3220" s="9"/>
      <c r="I3220" s="9"/>
      <c r="J3220" s="16"/>
    </row>
    <row r="3222" spans="6:10" x14ac:dyDescent="0.25">
      <c r="G3222" s="9"/>
      <c r="H3222" s="9"/>
      <c r="I3222" s="9"/>
      <c r="J3222" s="16"/>
    </row>
    <row r="3223" spans="6:10" x14ac:dyDescent="0.25">
      <c r="G3223" s="9"/>
      <c r="H3223" s="9"/>
      <c r="I3223" s="9"/>
      <c r="J3223" s="16"/>
    </row>
    <row r="3224" spans="6:10" x14ac:dyDescent="0.25">
      <c r="H3224" s="9"/>
      <c r="I3224" s="9"/>
      <c r="J3224" s="16"/>
    </row>
    <row r="3226" spans="6:10" x14ac:dyDescent="0.25">
      <c r="G3226" s="9"/>
      <c r="H3226" s="9"/>
      <c r="I3226" s="9"/>
      <c r="J3226" s="16"/>
    </row>
    <row r="3227" spans="6:10" x14ac:dyDescent="0.25">
      <c r="G3227" s="9"/>
      <c r="H3227" s="9"/>
      <c r="I3227" s="9"/>
      <c r="J3227" s="16"/>
    </row>
    <row r="3228" spans="6:10" x14ac:dyDescent="0.25">
      <c r="H3228" s="9"/>
      <c r="I3228" s="9"/>
      <c r="J3228" s="16"/>
    </row>
    <row r="3229" spans="6:10" x14ac:dyDescent="0.25">
      <c r="G3229" s="9"/>
      <c r="H3229" s="9"/>
      <c r="I3229" s="9"/>
      <c r="J3229" s="16"/>
    </row>
    <row r="3230" spans="6:10" x14ac:dyDescent="0.25">
      <c r="F3230" s="26"/>
      <c r="G3230" s="9"/>
      <c r="H3230" s="9"/>
      <c r="I3230" s="9"/>
      <c r="J3230" s="16"/>
    </row>
    <row r="3231" spans="6:10" x14ac:dyDescent="0.25">
      <c r="F3231" s="27"/>
      <c r="H3231" s="9"/>
      <c r="I3231" s="9"/>
      <c r="J3231" s="16"/>
    </row>
    <row r="3232" spans="6:10" x14ac:dyDescent="0.25">
      <c r="G3232" s="9"/>
      <c r="H3232" s="9"/>
      <c r="I3232" s="9"/>
      <c r="J3232" s="16"/>
    </row>
    <row r="3234" spans="3:10" x14ac:dyDescent="0.25">
      <c r="G3234" s="9"/>
      <c r="H3234" s="9"/>
      <c r="I3234" s="9"/>
      <c r="J3234" s="16"/>
    </row>
    <row r="3235" spans="3:10" x14ac:dyDescent="0.25">
      <c r="G3235" s="9"/>
      <c r="H3235" s="9"/>
      <c r="I3235" s="9"/>
      <c r="J3235" s="16"/>
    </row>
    <row r="3237" spans="3:10" x14ac:dyDescent="0.25">
      <c r="H3237" s="9"/>
      <c r="I3237" s="9"/>
      <c r="J3237" s="16"/>
    </row>
    <row r="3238" spans="3:10" x14ac:dyDescent="0.25">
      <c r="G3238" s="9"/>
      <c r="H3238" s="9"/>
      <c r="I3238" s="9"/>
      <c r="J3238" s="16"/>
    </row>
    <row r="3239" spans="3:10" x14ac:dyDescent="0.25">
      <c r="G3239" s="9"/>
      <c r="H3239" s="9"/>
      <c r="I3239" s="9"/>
      <c r="J3239" s="16"/>
    </row>
    <row r="3241" spans="3:10" x14ac:dyDescent="0.25">
      <c r="G3241" s="9"/>
      <c r="H3241" s="9"/>
      <c r="I3241" s="9"/>
      <c r="J3241" s="16"/>
    </row>
    <row r="3242" spans="3:10" x14ac:dyDescent="0.25">
      <c r="C3242" s="10"/>
      <c r="G3242" s="9"/>
      <c r="H3242" s="9"/>
      <c r="I3242" s="9"/>
      <c r="J3242" s="16"/>
    </row>
    <row r="3244" spans="3:10" x14ac:dyDescent="0.25">
      <c r="G3244" s="9"/>
      <c r="H3244" s="9"/>
      <c r="I3244" s="9"/>
      <c r="J3244" s="16"/>
    </row>
    <row r="3245" spans="3:10" x14ac:dyDescent="0.25">
      <c r="G3245" s="9"/>
      <c r="H3245" s="9"/>
      <c r="I3245" s="9"/>
      <c r="J3245" s="16"/>
    </row>
    <row r="3246" spans="3:10" x14ac:dyDescent="0.25">
      <c r="G3246" s="9"/>
      <c r="H3246" s="9"/>
      <c r="I3246" s="9"/>
      <c r="J3246" s="16"/>
    </row>
    <row r="3248" spans="3:10" x14ac:dyDescent="0.25">
      <c r="G3248" s="9"/>
      <c r="H3248" s="9"/>
      <c r="I3248" s="9"/>
      <c r="J3248" s="16"/>
    </row>
    <row r="3249" spans="6:10" x14ac:dyDescent="0.25">
      <c r="G3249" s="9"/>
      <c r="H3249" s="9"/>
      <c r="I3249" s="9"/>
      <c r="J3249" s="16"/>
    </row>
    <row r="3252" spans="6:10" x14ac:dyDescent="0.25">
      <c r="F3252" s="26"/>
    </row>
    <row r="3253" spans="6:10" x14ac:dyDescent="0.25">
      <c r="F3253" s="27"/>
      <c r="G3253" s="9"/>
      <c r="H3253" s="9"/>
      <c r="I3253" s="9"/>
      <c r="J3253" s="16"/>
    </row>
    <row r="3254" spans="6:10" x14ac:dyDescent="0.25">
      <c r="G3254" s="9"/>
      <c r="H3254" s="9"/>
      <c r="I3254" s="9"/>
      <c r="J3254" s="16"/>
    </row>
    <row r="3256" spans="6:10" x14ac:dyDescent="0.25">
      <c r="G3256" s="9"/>
      <c r="H3256" s="9"/>
      <c r="I3256" s="9"/>
      <c r="J3256" s="16"/>
    </row>
    <row r="3257" spans="6:10" x14ac:dyDescent="0.25">
      <c r="G3257" s="9"/>
      <c r="H3257" s="9"/>
      <c r="I3257" s="9"/>
      <c r="J3257" s="16"/>
    </row>
    <row r="3259" spans="6:10" x14ac:dyDescent="0.25">
      <c r="H3259" s="9"/>
      <c r="I3259" s="9"/>
      <c r="J3259" s="16"/>
    </row>
    <row r="3260" spans="6:10" x14ac:dyDescent="0.25">
      <c r="H3260" s="9"/>
      <c r="I3260" s="9"/>
      <c r="J3260" s="16"/>
    </row>
    <row r="3261" spans="6:10" x14ac:dyDescent="0.25">
      <c r="G3261" s="9"/>
      <c r="H3261" s="9"/>
      <c r="I3261" s="9"/>
      <c r="J3261" s="16"/>
    </row>
    <row r="3263" spans="6:10" x14ac:dyDescent="0.25">
      <c r="H3263" s="9"/>
      <c r="I3263" s="9"/>
      <c r="J3263" s="16"/>
    </row>
    <row r="3264" spans="6:10" x14ac:dyDescent="0.25">
      <c r="H3264" s="9"/>
      <c r="I3264" s="9"/>
      <c r="J3264" s="16"/>
    </row>
    <row r="3265" spans="6:10" x14ac:dyDescent="0.25">
      <c r="G3265" s="9"/>
      <c r="H3265" s="9"/>
      <c r="I3265" s="9"/>
      <c r="J3265" s="16"/>
    </row>
    <row r="3266" spans="6:10" x14ac:dyDescent="0.25">
      <c r="G3266" s="9"/>
      <c r="H3266" s="9"/>
      <c r="I3266" s="9"/>
      <c r="J3266" s="16"/>
    </row>
    <row r="3267" spans="6:10" x14ac:dyDescent="0.25">
      <c r="G3267" s="9"/>
      <c r="H3267" s="9"/>
      <c r="I3267" s="9"/>
      <c r="J3267" s="16"/>
    </row>
    <row r="3272" spans="6:10" x14ac:dyDescent="0.25">
      <c r="F3272" s="26"/>
    </row>
    <row r="3273" spans="6:10" x14ac:dyDescent="0.25">
      <c r="F3273" s="27"/>
    </row>
    <row r="3274" spans="6:10" x14ac:dyDescent="0.25">
      <c r="G3274" s="9"/>
      <c r="H3274" s="9"/>
      <c r="I3274" s="9"/>
      <c r="J3274" s="16"/>
    </row>
    <row r="3276" spans="6:10" x14ac:dyDescent="0.25">
      <c r="G3276" s="9"/>
      <c r="H3276" s="9"/>
      <c r="I3276" s="9"/>
      <c r="J3276" s="16"/>
    </row>
    <row r="3277" spans="6:10" x14ac:dyDescent="0.25">
      <c r="G3277" s="9"/>
      <c r="H3277" s="9"/>
      <c r="I3277" s="9"/>
      <c r="J3277" s="16"/>
    </row>
    <row r="3279" spans="6:10" x14ac:dyDescent="0.25">
      <c r="G3279" s="9"/>
      <c r="H3279" s="9"/>
      <c r="I3279" s="9"/>
      <c r="J3279" s="16"/>
    </row>
    <row r="3280" spans="6:10" x14ac:dyDescent="0.25">
      <c r="G3280" s="9"/>
      <c r="H3280" s="9"/>
      <c r="I3280" s="9"/>
      <c r="J3280" s="16"/>
    </row>
    <row r="3282" spans="6:10" x14ac:dyDescent="0.25">
      <c r="G3282" s="9"/>
      <c r="H3282" s="9"/>
      <c r="I3282" s="9"/>
      <c r="J3282" s="16"/>
    </row>
    <row r="3283" spans="6:10" x14ac:dyDescent="0.25">
      <c r="G3283" s="9"/>
      <c r="H3283" s="9"/>
      <c r="I3283" s="9"/>
      <c r="J3283" s="16"/>
    </row>
    <row r="3284" spans="6:10" x14ac:dyDescent="0.25">
      <c r="G3284" s="9"/>
      <c r="H3284" s="9"/>
      <c r="I3284" s="9"/>
      <c r="J3284" s="16"/>
    </row>
    <row r="3286" spans="6:10" x14ac:dyDescent="0.25">
      <c r="F3286" s="26"/>
      <c r="H3286" s="9"/>
      <c r="I3286" s="9"/>
      <c r="J3286" s="16"/>
    </row>
    <row r="3287" spans="6:10" x14ac:dyDescent="0.25">
      <c r="F3287" s="27"/>
      <c r="G3287" s="9"/>
      <c r="H3287" s="9"/>
      <c r="I3287" s="9"/>
      <c r="J3287" s="16"/>
    </row>
    <row r="3288" spans="6:10" x14ac:dyDescent="0.25">
      <c r="G3288" s="9"/>
      <c r="H3288" s="9"/>
      <c r="I3288" s="9"/>
      <c r="J3288" s="16"/>
    </row>
    <row r="3290" spans="6:10" x14ac:dyDescent="0.25">
      <c r="G3290" s="9"/>
      <c r="H3290" s="9"/>
      <c r="I3290" s="9"/>
      <c r="J3290" s="16"/>
    </row>
    <row r="3291" spans="6:10" x14ac:dyDescent="0.25">
      <c r="G3291" s="9"/>
      <c r="H3291" s="9"/>
      <c r="I3291" s="9"/>
      <c r="J3291" s="16"/>
    </row>
    <row r="3293" spans="6:10" x14ac:dyDescent="0.25">
      <c r="G3293" s="9"/>
      <c r="H3293" s="9"/>
      <c r="I3293" s="9"/>
      <c r="J3293" s="16"/>
    </row>
    <row r="3294" spans="6:10" x14ac:dyDescent="0.25">
      <c r="G3294" s="9"/>
      <c r="H3294" s="9"/>
      <c r="I3294" s="9"/>
      <c r="J3294" s="16"/>
    </row>
    <row r="3296" spans="6:10" x14ac:dyDescent="0.25">
      <c r="G3296" s="9"/>
      <c r="H3296" s="9"/>
      <c r="I3296" s="9"/>
      <c r="J3296" s="16"/>
    </row>
    <row r="3297" spans="6:11" x14ac:dyDescent="0.25">
      <c r="G3297" s="9"/>
      <c r="H3297" s="9"/>
      <c r="I3297" s="9"/>
      <c r="J3297" s="16"/>
      <c r="K3297" s="8"/>
    </row>
    <row r="3299" spans="6:11" x14ac:dyDescent="0.25">
      <c r="G3299" s="9"/>
      <c r="H3299" s="9"/>
      <c r="I3299" s="9"/>
      <c r="J3299" s="16"/>
    </row>
    <row r="3300" spans="6:11" x14ac:dyDescent="0.25">
      <c r="G3300" s="9"/>
      <c r="H3300" s="9"/>
      <c r="I3300" s="9"/>
      <c r="J3300" s="16"/>
    </row>
    <row r="3301" spans="6:11" x14ac:dyDescent="0.25">
      <c r="G3301" s="9"/>
      <c r="H3301" s="9"/>
      <c r="I3301" s="9"/>
      <c r="J3301" s="16"/>
    </row>
    <row r="3302" spans="6:11" x14ac:dyDescent="0.25">
      <c r="G3302" s="9"/>
      <c r="H3302" s="9"/>
      <c r="I3302" s="9"/>
      <c r="J3302" s="16"/>
    </row>
    <row r="3303" spans="6:11" x14ac:dyDescent="0.25">
      <c r="F3303" s="26"/>
    </row>
    <row r="3304" spans="6:11" x14ac:dyDescent="0.25">
      <c r="F3304" s="27"/>
      <c r="G3304" s="9"/>
      <c r="H3304" s="9"/>
      <c r="I3304" s="9"/>
      <c r="J3304" s="16"/>
    </row>
    <row r="3305" spans="6:11" x14ac:dyDescent="0.25">
      <c r="G3305" s="9"/>
      <c r="H3305" s="9"/>
      <c r="I3305" s="9"/>
      <c r="J3305" s="16"/>
    </row>
    <row r="3307" spans="6:11" x14ac:dyDescent="0.25">
      <c r="G3307" s="9"/>
      <c r="H3307" s="9"/>
      <c r="I3307" s="9"/>
      <c r="J3307" s="16"/>
    </row>
    <row r="3308" spans="6:11" x14ac:dyDescent="0.25">
      <c r="G3308" s="9"/>
      <c r="H3308" s="9"/>
      <c r="I3308" s="9"/>
      <c r="J3308" s="16"/>
    </row>
    <row r="3309" spans="6:11" x14ac:dyDescent="0.25">
      <c r="G3309" s="9"/>
      <c r="H3309" s="9"/>
      <c r="I3309" s="9"/>
      <c r="J3309" s="16"/>
    </row>
    <row r="3311" spans="6:11" x14ac:dyDescent="0.25">
      <c r="G3311" s="9"/>
      <c r="H3311" s="9"/>
      <c r="I3311" s="9"/>
      <c r="J3311" s="16"/>
    </row>
    <row r="3312" spans="6:11" x14ac:dyDescent="0.25">
      <c r="G3312" s="9"/>
      <c r="H3312" s="9"/>
      <c r="I3312" s="9"/>
      <c r="J3312" s="16"/>
    </row>
    <row r="3314" spans="6:10" x14ac:dyDescent="0.25">
      <c r="G3314" s="9"/>
      <c r="H3314" s="9"/>
      <c r="I3314" s="9"/>
      <c r="J3314" s="16"/>
    </row>
    <row r="3315" spans="6:10" x14ac:dyDescent="0.25">
      <c r="G3315" s="9"/>
      <c r="H3315" s="9"/>
      <c r="I3315" s="9"/>
      <c r="J3315" s="16"/>
    </row>
    <row r="3317" spans="6:10" x14ac:dyDescent="0.25">
      <c r="G3317" s="9"/>
      <c r="H3317" s="9"/>
      <c r="I3317" s="9"/>
      <c r="J3317" s="16"/>
    </row>
    <row r="3318" spans="6:10" x14ac:dyDescent="0.25">
      <c r="G3318" s="9"/>
      <c r="H3318" s="9"/>
      <c r="I3318" s="9"/>
      <c r="J3318" s="16"/>
    </row>
    <row r="3320" spans="6:10" x14ac:dyDescent="0.25">
      <c r="F3320" s="26"/>
      <c r="G3320" s="9"/>
      <c r="H3320" s="9"/>
      <c r="I3320" s="9"/>
      <c r="J3320" s="16"/>
    </row>
    <row r="3321" spans="6:10" x14ac:dyDescent="0.25">
      <c r="F3321" s="27"/>
      <c r="G3321" s="9"/>
      <c r="H3321" s="9"/>
      <c r="I3321" s="9"/>
      <c r="J3321" s="16"/>
    </row>
    <row r="3323" spans="6:10" x14ac:dyDescent="0.25">
      <c r="G3323" s="9"/>
      <c r="H3323" s="9"/>
      <c r="I3323" s="9"/>
      <c r="J3323" s="16"/>
    </row>
    <row r="3324" spans="6:10" x14ac:dyDescent="0.25">
      <c r="G3324" s="9"/>
      <c r="H3324" s="9"/>
      <c r="I3324" s="9"/>
      <c r="J3324" s="16"/>
    </row>
    <row r="3325" spans="6:10" x14ac:dyDescent="0.25">
      <c r="G3325" s="9"/>
      <c r="H3325" s="9"/>
      <c r="I3325" s="9"/>
      <c r="J3325" s="16"/>
    </row>
    <row r="3327" spans="6:10" x14ac:dyDescent="0.25">
      <c r="G3327" s="9"/>
      <c r="H3327" s="9"/>
      <c r="I3327" s="9"/>
      <c r="J3327" s="16"/>
    </row>
    <row r="3328" spans="6:10" x14ac:dyDescent="0.25">
      <c r="G3328" s="9"/>
      <c r="H3328" s="9"/>
      <c r="I3328" s="9"/>
      <c r="J3328" s="16"/>
    </row>
    <row r="3330" spans="6:10" x14ac:dyDescent="0.25">
      <c r="G3330" s="9"/>
      <c r="H3330" s="9"/>
      <c r="I3330" s="9"/>
      <c r="J3330" s="16"/>
    </row>
    <row r="3331" spans="6:10" x14ac:dyDescent="0.25">
      <c r="G3331" s="9"/>
      <c r="H3331" s="9"/>
      <c r="I3331" s="9"/>
      <c r="J3331" s="16"/>
    </row>
    <row r="3332" spans="6:10" x14ac:dyDescent="0.25">
      <c r="G3332" s="9"/>
      <c r="H3332" s="9"/>
      <c r="I3332" s="9"/>
      <c r="J3332" s="16"/>
    </row>
    <row r="3339" spans="6:10" x14ac:dyDescent="0.25">
      <c r="F3339" s="26"/>
      <c r="G3339" s="9"/>
      <c r="H3339" s="9"/>
      <c r="I3339" s="9"/>
      <c r="J3339" s="16"/>
    </row>
    <row r="3340" spans="6:10" x14ac:dyDescent="0.25">
      <c r="F3340" s="27"/>
      <c r="G3340" s="9"/>
      <c r="H3340" s="9"/>
      <c r="I3340" s="9"/>
      <c r="J3340" s="16"/>
    </row>
    <row r="3341" spans="6:10" x14ac:dyDescent="0.25">
      <c r="G3341" s="9"/>
      <c r="H3341" s="9"/>
      <c r="I3341" s="9"/>
      <c r="J3341" s="16"/>
    </row>
    <row r="3343" spans="6:10" x14ac:dyDescent="0.25">
      <c r="G3343" s="9"/>
      <c r="H3343" s="9"/>
      <c r="I3343" s="9"/>
      <c r="J3343" s="16"/>
    </row>
    <row r="3344" spans="6:10" x14ac:dyDescent="0.25">
      <c r="G3344" s="9"/>
      <c r="H3344" s="9"/>
      <c r="I3344" s="9"/>
      <c r="J3344" s="16"/>
    </row>
    <row r="3346" spans="6:10" x14ac:dyDescent="0.25">
      <c r="G3346" s="9"/>
      <c r="H3346" s="9"/>
      <c r="I3346" s="9"/>
      <c r="J3346" s="16"/>
    </row>
    <row r="3347" spans="6:10" x14ac:dyDescent="0.25">
      <c r="G3347" s="9"/>
      <c r="H3347" s="9"/>
      <c r="I3347" s="9"/>
      <c r="J3347" s="16"/>
    </row>
    <row r="3349" spans="6:10" x14ac:dyDescent="0.25">
      <c r="G3349" s="9"/>
      <c r="H3349" s="9"/>
      <c r="I3349" s="9"/>
      <c r="J3349" s="16"/>
    </row>
    <row r="3350" spans="6:10" x14ac:dyDescent="0.25">
      <c r="G3350" s="9"/>
      <c r="H3350" s="9"/>
      <c r="I3350" s="9"/>
      <c r="J3350" s="16"/>
    </row>
    <row r="3351" spans="6:10" x14ac:dyDescent="0.25">
      <c r="G3351" s="9"/>
      <c r="H3351" s="9"/>
      <c r="I3351" s="9"/>
      <c r="J3351" s="16"/>
    </row>
    <row r="3353" spans="6:10" x14ac:dyDescent="0.25">
      <c r="G3353" s="9"/>
      <c r="H3353" s="9"/>
      <c r="I3353" s="9"/>
      <c r="J3353" s="16"/>
    </row>
    <row r="3354" spans="6:10" x14ac:dyDescent="0.25">
      <c r="G3354" s="9"/>
      <c r="H3354" s="9"/>
      <c r="I3354" s="9"/>
      <c r="J3354" s="16"/>
    </row>
    <row r="3356" spans="6:10" x14ac:dyDescent="0.25">
      <c r="G3356" s="9"/>
      <c r="H3356" s="9"/>
      <c r="I3356" s="9"/>
      <c r="J3356" s="16"/>
    </row>
    <row r="3357" spans="6:10" x14ac:dyDescent="0.25">
      <c r="G3357" s="9"/>
      <c r="H3357" s="9"/>
      <c r="I3357" s="9"/>
      <c r="J3357" s="16"/>
    </row>
    <row r="3359" spans="6:10" x14ac:dyDescent="0.25">
      <c r="F3359" s="26"/>
    </row>
    <row r="3360" spans="6:10" x14ac:dyDescent="0.25">
      <c r="F3360" s="27"/>
    </row>
    <row r="3379" spans="6:6" x14ac:dyDescent="0.25">
      <c r="F3379" s="26"/>
    </row>
    <row r="3380" spans="6:6" x14ac:dyDescent="0.25">
      <c r="F3380" s="27"/>
    </row>
    <row r="3401" spans="6:6" x14ac:dyDescent="0.25">
      <c r="F3401" s="26"/>
    </row>
    <row r="3402" spans="6:6" x14ac:dyDescent="0.25">
      <c r="F3402" s="27"/>
    </row>
    <row r="3422" spans="6:6" x14ac:dyDescent="0.25">
      <c r="F3422" s="26"/>
    </row>
    <row r="3423" spans="6:6" x14ac:dyDescent="0.25">
      <c r="F3423" s="27"/>
    </row>
    <row r="3432" spans="7:11" x14ac:dyDescent="0.25">
      <c r="I3432" s="9"/>
      <c r="J3432" s="16"/>
    </row>
    <row r="3433" spans="7:11" x14ac:dyDescent="0.25">
      <c r="G3433" s="9"/>
      <c r="H3433" s="9"/>
      <c r="I3433" s="9"/>
      <c r="J3433" s="16"/>
    </row>
    <row r="3434" spans="7:11" x14ac:dyDescent="0.25">
      <c r="G3434" s="9"/>
      <c r="H3434" s="9"/>
      <c r="I3434" s="9"/>
      <c r="J3434" s="16"/>
    </row>
    <row r="3436" spans="7:11" x14ac:dyDescent="0.25">
      <c r="G3436" s="9"/>
      <c r="H3436" s="9"/>
      <c r="I3436" s="9"/>
      <c r="J3436" s="16"/>
    </row>
    <row r="3437" spans="7:11" x14ac:dyDescent="0.25">
      <c r="G3437" s="9"/>
      <c r="H3437" s="9"/>
      <c r="I3437" s="9"/>
      <c r="J3437" s="16"/>
      <c r="K3437" s="8"/>
    </row>
    <row r="3439" spans="7:11" x14ac:dyDescent="0.25">
      <c r="G3439" s="9"/>
      <c r="H3439" s="9"/>
      <c r="I3439" s="9"/>
      <c r="J3439" s="16"/>
    </row>
    <row r="3440" spans="7:11" x14ac:dyDescent="0.25">
      <c r="G3440" s="9"/>
      <c r="H3440" s="9"/>
      <c r="I3440" s="9"/>
      <c r="J3440" s="16"/>
    </row>
    <row r="3442" spans="3:10" x14ac:dyDescent="0.25">
      <c r="G3442" s="9"/>
      <c r="H3442" s="9"/>
      <c r="I3442" s="9"/>
      <c r="J3442" s="16"/>
    </row>
    <row r="3443" spans="3:10" x14ac:dyDescent="0.25">
      <c r="F3443" s="26"/>
    </row>
    <row r="3444" spans="3:10" x14ac:dyDescent="0.25">
      <c r="F3444" s="27"/>
      <c r="G3444" s="9"/>
      <c r="H3444" s="9"/>
      <c r="I3444" s="9"/>
      <c r="J3444" s="16"/>
    </row>
    <row r="3445" spans="3:10" x14ac:dyDescent="0.25">
      <c r="G3445" s="9"/>
      <c r="H3445" s="9"/>
      <c r="I3445" s="9"/>
      <c r="J3445" s="16"/>
    </row>
    <row r="3447" spans="3:10" x14ac:dyDescent="0.25">
      <c r="G3447" s="9"/>
      <c r="H3447" s="9"/>
      <c r="I3447" s="9"/>
      <c r="J3447" s="16"/>
    </row>
    <row r="3448" spans="3:10" x14ac:dyDescent="0.25">
      <c r="C3448" s="10"/>
      <c r="G3448" s="9"/>
      <c r="H3448" s="9"/>
      <c r="I3448" s="9"/>
      <c r="J3448" s="16"/>
    </row>
    <row r="3450" spans="3:10" x14ac:dyDescent="0.25">
      <c r="G3450" s="9"/>
      <c r="H3450" s="9"/>
      <c r="I3450" s="9"/>
      <c r="J3450" s="16"/>
    </row>
    <row r="3451" spans="3:10" x14ac:dyDescent="0.25">
      <c r="G3451" s="9"/>
      <c r="H3451" s="9"/>
      <c r="I3451" s="9"/>
      <c r="J3451" s="16"/>
    </row>
    <row r="3453" spans="3:10" x14ac:dyDescent="0.25">
      <c r="G3453" s="9"/>
      <c r="H3453" s="9"/>
      <c r="I3453" s="9"/>
      <c r="J3453" s="16"/>
    </row>
    <row r="3454" spans="3:10" x14ac:dyDescent="0.25">
      <c r="G3454" s="9"/>
      <c r="H3454" s="9"/>
      <c r="I3454" s="9"/>
      <c r="J3454" s="16"/>
    </row>
    <row r="3455" spans="3:10" x14ac:dyDescent="0.25">
      <c r="G3455" s="9"/>
      <c r="H3455" s="9"/>
      <c r="I3455" s="9"/>
      <c r="J3455" s="16"/>
    </row>
    <row r="3457" spans="6:11" x14ac:dyDescent="0.25">
      <c r="G3457" s="9"/>
      <c r="H3457" s="9"/>
      <c r="I3457" s="9"/>
      <c r="J3457" s="16"/>
    </row>
    <row r="3458" spans="6:11" x14ac:dyDescent="0.25">
      <c r="G3458" s="9"/>
      <c r="H3458" s="9"/>
      <c r="I3458" s="9"/>
      <c r="J3458" s="16"/>
    </row>
    <row r="3460" spans="6:11" x14ac:dyDescent="0.25">
      <c r="G3460" s="9"/>
      <c r="H3460" s="9"/>
      <c r="I3460" s="9"/>
      <c r="J3460" s="16"/>
    </row>
    <row r="3461" spans="6:11" x14ac:dyDescent="0.25">
      <c r="G3461" s="9"/>
      <c r="H3461" s="9"/>
      <c r="I3461" s="9"/>
      <c r="J3461" s="16"/>
      <c r="K3461" s="8"/>
    </row>
    <row r="3467" spans="6:11" x14ac:dyDescent="0.25">
      <c r="F3467" s="26"/>
    </row>
    <row r="3468" spans="6:11" x14ac:dyDescent="0.25">
      <c r="F3468" s="27"/>
    </row>
    <row r="3474" spans="6:10" x14ac:dyDescent="0.25">
      <c r="G3474" s="9"/>
      <c r="H3474" s="9"/>
      <c r="I3474" s="9"/>
      <c r="J3474" s="16"/>
    </row>
    <row r="3477" spans="6:10" x14ac:dyDescent="0.25">
      <c r="F3477" s="26"/>
    </row>
    <row r="3478" spans="6:10" x14ac:dyDescent="0.25">
      <c r="F3478" s="27"/>
    </row>
    <row r="3499" spans="6:6" x14ac:dyDescent="0.25">
      <c r="F3499" s="26"/>
    </row>
    <row r="3500" spans="6:6" x14ac:dyDescent="0.25">
      <c r="F3500" s="27"/>
    </row>
    <row r="3520" spans="6:6" x14ac:dyDescent="0.25">
      <c r="F3520" s="26"/>
    </row>
    <row r="3521" spans="6:6" x14ac:dyDescent="0.25">
      <c r="F3521" s="27"/>
    </row>
    <row r="3536" spans="6:6" x14ac:dyDescent="0.25">
      <c r="F3536" s="26"/>
    </row>
    <row r="3537" spans="6:6" x14ac:dyDescent="0.25">
      <c r="F3537" s="27"/>
    </row>
    <row r="3553" spans="1:11" x14ac:dyDescent="0.25">
      <c r="A3553" s="52"/>
      <c r="B3553" s="11"/>
      <c r="C3553" s="11"/>
      <c r="G3553" s="12"/>
      <c r="H3553" s="12"/>
      <c r="I3553" s="12"/>
      <c r="J3553" s="17"/>
      <c r="K3553" s="13"/>
    </row>
    <row r="3559" spans="1:11" x14ac:dyDescent="0.25">
      <c r="F3559" s="29"/>
    </row>
    <row r="3560" spans="1:11" x14ac:dyDescent="0.25">
      <c r="F3560" s="26"/>
    </row>
    <row r="3561" spans="1:11" x14ac:dyDescent="0.25">
      <c r="F3561" s="27"/>
    </row>
    <row r="3571" spans="6:11" x14ac:dyDescent="0.25">
      <c r="I3571" s="9"/>
      <c r="J3571" s="16"/>
      <c r="K3571" s="8"/>
    </row>
    <row r="3574" spans="6:11" x14ac:dyDescent="0.25">
      <c r="I3574" s="9"/>
      <c r="J3574" s="16"/>
      <c r="K3574" s="8"/>
    </row>
    <row r="3575" spans="6:11" x14ac:dyDescent="0.25">
      <c r="F3575" s="26"/>
    </row>
    <row r="3576" spans="6:11" x14ac:dyDescent="0.25">
      <c r="F3576" s="27"/>
    </row>
    <row r="3577" spans="6:11" x14ac:dyDescent="0.25">
      <c r="F3577" s="27"/>
    </row>
    <row r="3582" spans="6:11" x14ac:dyDescent="0.25">
      <c r="I3582" s="9"/>
      <c r="J3582" s="16"/>
      <c r="K3582" s="8"/>
    </row>
    <row r="3586" spans="9:11" x14ac:dyDescent="0.25">
      <c r="I3586" s="9"/>
      <c r="J3586" s="16"/>
      <c r="K3586" s="8"/>
    </row>
    <row r="3603" spans="6:6" x14ac:dyDescent="0.25">
      <c r="F3603" s="26"/>
    </row>
    <row r="3604" spans="6:6" x14ac:dyDescent="0.25">
      <c r="F3604" s="27"/>
    </row>
    <row r="3605" spans="6:6" x14ac:dyDescent="0.25">
      <c r="F3605" s="27"/>
    </row>
    <row r="3621" spans="6:11" x14ac:dyDescent="0.25">
      <c r="I3621" s="9"/>
      <c r="J3621" s="16"/>
      <c r="K3621" s="8"/>
    </row>
    <row r="3622" spans="6:11" x14ac:dyDescent="0.25">
      <c r="I3622" s="9"/>
      <c r="K3622" s="8"/>
    </row>
    <row r="3624" spans="6:11" x14ac:dyDescent="0.25">
      <c r="I3624" s="9"/>
      <c r="K3624" s="8"/>
    </row>
    <row r="3627" spans="6:11" x14ac:dyDescent="0.25">
      <c r="I3627" s="9"/>
      <c r="K3627" s="8"/>
    </row>
    <row r="3629" spans="6:11" x14ac:dyDescent="0.25">
      <c r="F3629" s="26"/>
      <c r="I3629" s="9"/>
      <c r="K3629" s="8"/>
    </row>
    <row r="3630" spans="6:11" x14ac:dyDescent="0.25">
      <c r="F3630" s="27"/>
      <c r="K3630" s="8"/>
    </row>
    <row r="3635" spans="11:11" x14ac:dyDescent="0.25">
      <c r="K3635" s="8"/>
    </row>
    <row r="3636" spans="11:11" x14ac:dyDescent="0.25">
      <c r="K3636" s="8"/>
    </row>
    <row r="3642" spans="11:11" x14ac:dyDescent="0.25">
      <c r="K3642" s="8"/>
    </row>
    <row r="3648" spans="11:11" x14ac:dyDescent="0.25">
      <c r="K3648" s="8"/>
    </row>
    <row r="3658" spans="6:11" x14ac:dyDescent="0.25">
      <c r="F3658" s="26"/>
    </row>
    <row r="3659" spans="6:11" x14ac:dyDescent="0.25">
      <c r="F3659" s="27"/>
    </row>
    <row r="3661" spans="6:11" x14ac:dyDescent="0.25">
      <c r="K3661" s="8"/>
    </row>
    <row r="3681" spans="6:11" x14ac:dyDescent="0.25">
      <c r="F3681" s="26"/>
    </row>
    <row r="3682" spans="6:11" x14ac:dyDescent="0.25">
      <c r="F3682" s="27"/>
    </row>
    <row r="3686" spans="6:11" x14ac:dyDescent="0.25">
      <c r="I3686" s="9"/>
      <c r="K3686" s="16"/>
    </row>
    <row r="3687" spans="6:11" x14ac:dyDescent="0.25">
      <c r="K3687" s="15"/>
    </row>
    <row r="3688" spans="6:11" x14ac:dyDescent="0.25">
      <c r="I3688" s="9"/>
      <c r="K3688" s="16"/>
    </row>
    <row r="3689" spans="6:11" x14ac:dyDescent="0.25">
      <c r="I3689" s="9"/>
      <c r="K3689" s="16"/>
    </row>
    <row r="3690" spans="6:11" x14ac:dyDescent="0.25">
      <c r="K3690" s="15"/>
    </row>
    <row r="3691" spans="6:11" x14ac:dyDescent="0.25">
      <c r="K3691" s="15"/>
    </row>
    <row r="3698" spans="6:11" x14ac:dyDescent="0.25">
      <c r="K3698" s="8"/>
    </row>
    <row r="3700" spans="6:11" x14ac:dyDescent="0.25">
      <c r="F3700" s="26"/>
    </row>
    <row r="3701" spans="6:11" x14ac:dyDescent="0.25">
      <c r="F3701" s="27"/>
    </row>
    <row r="3708" spans="6:11" x14ac:dyDescent="0.25">
      <c r="G3708" s="9"/>
      <c r="H3708" s="9"/>
      <c r="I3708" s="9"/>
    </row>
    <row r="3710" spans="6:11" x14ac:dyDescent="0.25">
      <c r="G3710" s="9"/>
      <c r="H3710" s="9"/>
      <c r="I3710" s="9"/>
    </row>
    <row r="3711" spans="6:11" x14ac:dyDescent="0.25">
      <c r="G3711" s="9"/>
      <c r="H3711" s="9"/>
      <c r="I3711" s="9"/>
    </row>
    <row r="3715" spans="6:9" x14ac:dyDescent="0.25">
      <c r="G3715" s="9"/>
      <c r="H3715" s="9"/>
      <c r="I3715" s="9"/>
    </row>
    <row r="3716" spans="6:9" x14ac:dyDescent="0.25">
      <c r="G3716" s="9"/>
      <c r="H3716" s="9"/>
      <c r="I3716" s="9"/>
    </row>
    <row r="3720" spans="6:9" x14ac:dyDescent="0.25">
      <c r="G3720" s="9"/>
      <c r="H3720" s="9"/>
      <c r="I3720" s="9"/>
    </row>
    <row r="3723" spans="6:9" x14ac:dyDescent="0.25">
      <c r="G3723" s="9"/>
      <c r="H3723" s="9"/>
      <c r="I3723" s="9"/>
    </row>
    <row r="3725" spans="6:9" x14ac:dyDescent="0.25">
      <c r="F3725" s="26"/>
      <c r="G3725" s="9"/>
      <c r="H3725" s="9"/>
      <c r="I3725" s="9"/>
    </row>
    <row r="3726" spans="6:9" x14ac:dyDescent="0.25">
      <c r="F3726" s="27"/>
    </row>
    <row r="3727" spans="6:9" x14ac:dyDescent="0.25">
      <c r="G3727" s="9"/>
      <c r="H3727" s="9"/>
      <c r="I3727" s="9"/>
    </row>
    <row r="3729" spans="7:9" x14ac:dyDescent="0.25">
      <c r="G3729" s="9"/>
      <c r="H3729" s="9"/>
      <c r="I3729" s="9"/>
    </row>
    <row r="3731" spans="7:9" x14ac:dyDescent="0.25">
      <c r="G3731" s="9"/>
      <c r="H3731" s="9"/>
      <c r="I3731" s="9"/>
    </row>
    <row r="3732" spans="7:9" x14ac:dyDescent="0.25">
      <c r="G3732" s="9"/>
      <c r="H3732" s="9"/>
      <c r="I3732" s="9"/>
    </row>
    <row r="3734" spans="7:9" x14ac:dyDescent="0.25">
      <c r="G3734" s="9"/>
      <c r="H3734" s="9"/>
      <c r="I3734" s="9"/>
    </row>
    <row r="3737" spans="7:9" x14ac:dyDescent="0.25">
      <c r="G3737" s="9"/>
      <c r="H3737" s="9"/>
      <c r="I3737" s="9"/>
    </row>
    <row r="3739" spans="7:9" x14ac:dyDescent="0.25">
      <c r="G3739" s="9"/>
      <c r="H3739" s="9"/>
      <c r="I3739" s="9"/>
    </row>
    <row r="3741" spans="7:9" x14ac:dyDescent="0.25">
      <c r="G3741" s="9"/>
      <c r="H3741" s="9"/>
      <c r="I3741" s="9"/>
    </row>
    <row r="3744" spans="7:9" x14ac:dyDescent="0.25">
      <c r="G3744" s="9"/>
      <c r="H3744" s="9"/>
      <c r="I3744" s="9"/>
    </row>
    <row r="3746" spans="6:11" x14ac:dyDescent="0.25">
      <c r="G3746" s="9"/>
      <c r="H3746" s="9"/>
      <c r="I3746" s="9"/>
    </row>
    <row r="3747" spans="6:11" x14ac:dyDescent="0.25">
      <c r="G3747" s="9"/>
      <c r="H3747" s="9"/>
      <c r="I3747" s="9"/>
    </row>
    <row r="3748" spans="6:11" x14ac:dyDescent="0.25">
      <c r="G3748" s="9"/>
      <c r="H3748" s="9"/>
      <c r="I3748" s="9"/>
    </row>
    <row r="3750" spans="6:11" x14ac:dyDescent="0.25">
      <c r="G3750" s="9"/>
      <c r="H3750" s="9"/>
      <c r="I3750" s="9"/>
    </row>
    <row r="3751" spans="6:11" x14ac:dyDescent="0.25">
      <c r="F3751" s="26"/>
    </row>
    <row r="3752" spans="6:11" x14ac:dyDescent="0.25">
      <c r="F3752" s="27"/>
      <c r="G3752" s="9"/>
      <c r="H3752" s="9"/>
      <c r="I3752" s="9"/>
    </row>
    <row r="3756" spans="6:11" x14ac:dyDescent="0.25">
      <c r="G3756" s="9"/>
      <c r="H3756" s="9"/>
      <c r="I3756" s="9"/>
      <c r="K3756" s="8"/>
    </row>
    <row r="3766" spans="1:6" x14ac:dyDescent="0.25">
      <c r="A3766" s="53"/>
    </row>
    <row r="3771" spans="1:6" x14ac:dyDescent="0.25">
      <c r="F3771" s="26"/>
    </row>
    <row r="3772" spans="1:6" x14ac:dyDescent="0.25">
      <c r="F3772" s="27"/>
    </row>
    <row r="3778" spans="3:9" x14ac:dyDescent="0.25">
      <c r="G3778" s="9"/>
      <c r="H3778" s="9"/>
      <c r="I3778" s="9"/>
    </row>
    <row r="3780" spans="3:9" x14ac:dyDescent="0.25">
      <c r="G3780" s="9"/>
      <c r="H3780" s="9"/>
      <c r="I3780" s="9"/>
    </row>
    <row r="3783" spans="3:9" x14ac:dyDescent="0.25">
      <c r="G3783" s="9"/>
      <c r="H3783" s="9"/>
      <c r="I3783" s="9"/>
    </row>
    <row r="3784" spans="3:9" x14ac:dyDescent="0.25">
      <c r="G3784" s="9"/>
      <c r="H3784" s="9"/>
      <c r="I3784" s="9"/>
    </row>
    <row r="3786" spans="3:9" x14ac:dyDescent="0.25">
      <c r="G3786" s="9"/>
      <c r="H3786" s="9"/>
      <c r="I3786" s="9"/>
    </row>
    <row r="3789" spans="3:9" x14ac:dyDescent="0.25">
      <c r="C3789" s="10"/>
      <c r="G3789" s="9"/>
      <c r="H3789" s="9"/>
      <c r="I3789" s="9"/>
    </row>
    <row r="3790" spans="3:9" x14ac:dyDescent="0.25">
      <c r="G3790" s="9"/>
      <c r="H3790" s="9"/>
      <c r="I3790" s="9"/>
    </row>
    <row r="3791" spans="3:9" x14ac:dyDescent="0.25">
      <c r="G3791" s="9"/>
      <c r="H3791" s="9"/>
      <c r="I3791" s="9"/>
    </row>
    <row r="3793" spans="6:9" x14ac:dyDescent="0.25">
      <c r="F3793" s="26"/>
      <c r="G3793" s="9"/>
      <c r="H3793" s="9"/>
      <c r="I3793" s="9"/>
    </row>
    <row r="3794" spans="6:9" x14ac:dyDescent="0.25">
      <c r="F3794" s="27"/>
      <c r="G3794" s="9"/>
      <c r="H3794" s="9"/>
      <c r="I3794" s="9"/>
    </row>
    <row r="3796" spans="6:9" x14ac:dyDescent="0.25">
      <c r="G3796" s="9"/>
      <c r="H3796" s="9"/>
      <c r="I3796" s="9"/>
    </row>
    <row r="3803" spans="6:9" x14ac:dyDescent="0.25">
      <c r="G3803" s="9"/>
      <c r="H3803" s="9"/>
      <c r="I3803" s="9"/>
    </row>
    <row r="3807" spans="6:9" x14ac:dyDescent="0.25">
      <c r="G3807" s="9"/>
      <c r="H3807" s="9"/>
      <c r="I3807" s="9"/>
    </row>
    <row r="3809" spans="6:9" x14ac:dyDescent="0.25">
      <c r="G3809" s="9"/>
      <c r="H3809" s="9"/>
      <c r="I3809" s="9"/>
    </row>
    <row r="3810" spans="6:9" x14ac:dyDescent="0.25">
      <c r="G3810" s="9"/>
      <c r="H3810" s="9"/>
      <c r="I3810" s="9"/>
    </row>
    <row r="3812" spans="6:9" x14ac:dyDescent="0.25">
      <c r="G3812" s="9"/>
      <c r="H3812" s="9"/>
      <c r="I3812" s="9"/>
    </row>
    <row r="3816" spans="6:9" x14ac:dyDescent="0.25">
      <c r="F3816" s="26"/>
    </row>
    <row r="3817" spans="6:9" x14ac:dyDescent="0.25">
      <c r="F3817" s="27"/>
    </row>
    <row r="3818" spans="6:9" x14ac:dyDescent="0.25">
      <c r="G3818" s="9"/>
      <c r="H3818" s="9"/>
      <c r="I3818" s="9"/>
    </row>
    <row r="3821" spans="6:9" x14ac:dyDescent="0.25">
      <c r="G3821" s="9"/>
      <c r="H3821" s="9"/>
      <c r="I3821" s="9"/>
    </row>
    <row r="3822" spans="6:9" x14ac:dyDescent="0.25">
      <c r="G3822" s="9"/>
      <c r="H3822" s="9"/>
      <c r="I3822" s="9"/>
    </row>
    <row r="3824" spans="6:9" x14ac:dyDescent="0.25">
      <c r="G3824" s="9"/>
      <c r="H3824" s="9"/>
      <c r="I3824" s="9"/>
    </row>
    <row r="3837" spans="6:6" x14ac:dyDescent="0.25">
      <c r="F3837" s="26"/>
    </row>
    <row r="3838" spans="6:6" x14ac:dyDescent="0.25">
      <c r="F3838" s="27"/>
    </row>
    <row r="3848" spans="7:9" x14ac:dyDescent="0.25">
      <c r="G3848" s="9"/>
      <c r="H3848" s="9"/>
      <c r="I3848" s="9"/>
    </row>
    <row r="3863" spans="6:6" x14ac:dyDescent="0.25">
      <c r="F3863" s="26"/>
    </row>
    <row r="3864" spans="6:6" x14ac:dyDescent="0.25">
      <c r="F3864" s="27"/>
    </row>
    <row r="3877" spans="6:11" x14ac:dyDescent="0.25">
      <c r="G3877" s="9"/>
      <c r="H3877" s="9"/>
      <c r="I3877" s="9"/>
      <c r="K3877" s="8"/>
    </row>
    <row r="3879" spans="6:11" x14ac:dyDescent="0.25">
      <c r="G3879" s="9"/>
      <c r="H3879" s="9"/>
      <c r="I3879" s="9"/>
      <c r="K3879" s="8"/>
    </row>
    <row r="3881" spans="6:11" x14ac:dyDescent="0.25">
      <c r="G3881" s="9"/>
      <c r="H3881" s="9"/>
      <c r="I3881" s="9"/>
      <c r="K3881" s="8"/>
    </row>
    <row r="3882" spans="6:11" x14ac:dyDescent="0.25">
      <c r="F3882" s="26"/>
    </row>
    <row r="3883" spans="6:11" x14ac:dyDescent="0.25">
      <c r="F3883" s="27"/>
      <c r="G3883" s="9"/>
      <c r="H3883" s="9"/>
      <c r="I3883" s="9"/>
    </row>
    <row r="3904" spans="6:6" x14ac:dyDescent="0.25">
      <c r="F3904" s="26"/>
    </row>
    <row r="3905" spans="6:6" x14ac:dyDescent="0.25">
      <c r="F3905" s="27"/>
    </row>
    <row r="3931" spans="6:6" x14ac:dyDescent="0.25">
      <c r="F3931" s="26"/>
    </row>
    <row r="3932" spans="6:6" x14ac:dyDescent="0.25">
      <c r="F3932" s="27"/>
    </row>
    <row r="3945" spans="6:9" x14ac:dyDescent="0.25">
      <c r="G3945" s="9"/>
      <c r="H3945" s="9"/>
      <c r="I3945" s="9"/>
    </row>
    <row r="3951" spans="6:9" x14ac:dyDescent="0.25">
      <c r="F3951" s="26"/>
    </row>
    <row r="3952" spans="6:9" x14ac:dyDescent="0.25">
      <c r="F3952" s="27"/>
    </row>
    <row r="3956" spans="3:8" x14ac:dyDescent="0.25">
      <c r="C3956" s="10"/>
    </row>
    <row r="3965" spans="3:8" x14ac:dyDescent="0.25">
      <c r="G3965" s="9"/>
      <c r="H3965" s="9"/>
    </row>
    <row r="3968" spans="3:8" x14ac:dyDescent="0.25">
      <c r="F3968" s="26"/>
    </row>
    <row r="3969" spans="6:8" x14ac:dyDescent="0.25">
      <c r="F3969" s="27"/>
    </row>
    <row r="3970" spans="6:8" x14ac:dyDescent="0.25">
      <c r="G3970" s="9"/>
      <c r="H3970" s="9"/>
    </row>
    <row r="3985" spans="6:6" x14ac:dyDescent="0.25">
      <c r="F3985" s="26"/>
    </row>
    <row r="3986" spans="6:6" x14ac:dyDescent="0.25">
      <c r="F3986" s="27"/>
    </row>
    <row r="4005" spans="6:6" x14ac:dyDescent="0.25">
      <c r="F4005" s="26"/>
    </row>
    <row r="4006" spans="6:6" x14ac:dyDescent="0.25">
      <c r="F4006" s="27"/>
    </row>
    <row r="4022" spans="6:11" x14ac:dyDescent="0.25">
      <c r="K4022" s="8"/>
    </row>
    <row r="4028" spans="6:11" x14ac:dyDescent="0.25">
      <c r="F4028" s="26"/>
    </row>
    <row r="4029" spans="6:11" x14ac:dyDescent="0.25">
      <c r="F4029" s="27"/>
    </row>
    <row r="4031" spans="6:11" x14ac:dyDescent="0.25">
      <c r="K4031" s="8"/>
    </row>
    <row r="4045" spans="7:9" x14ac:dyDescent="0.25">
      <c r="G4045" s="9"/>
      <c r="H4045" s="9"/>
      <c r="I4045" s="9"/>
    </row>
    <row r="4051" spans="6:9" x14ac:dyDescent="0.25">
      <c r="F4051" s="26"/>
    </row>
    <row r="4052" spans="6:9" x14ac:dyDescent="0.25">
      <c r="F4052" s="27"/>
    </row>
    <row r="4061" spans="6:9" x14ac:dyDescent="0.25">
      <c r="I4061" s="9"/>
    </row>
    <row r="4063" spans="6:9" x14ac:dyDescent="0.25">
      <c r="I4063" s="9"/>
    </row>
    <row r="4064" spans="6:9" x14ac:dyDescent="0.25">
      <c r="I4064" s="9"/>
    </row>
    <row r="4065" spans="6:9" x14ac:dyDescent="0.25">
      <c r="G4065" s="9"/>
      <c r="H4065" s="9"/>
      <c r="I4065" s="9"/>
    </row>
    <row r="4068" spans="6:9" x14ac:dyDescent="0.25">
      <c r="I4068" s="9"/>
    </row>
    <row r="4069" spans="6:9" x14ac:dyDescent="0.25">
      <c r="I4069" s="9"/>
    </row>
    <row r="4070" spans="6:9" x14ac:dyDescent="0.25">
      <c r="G4070" s="9"/>
      <c r="H4070" s="9"/>
      <c r="I4070" s="9"/>
    </row>
    <row r="4072" spans="6:9" x14ac:dyDescent="0.25">
      <c r="I4072" s="9"/>
    </row>
    <row r="4077" spans="6:9" x14ac:dyDescent="0.25">
      <c r="I4077" s="9"/>
    </row>
    <row r="4078" spans="6:9" x14ac:dyDescent="0.25">
      <c r="F4078" s="26"/>
    </row>
    <row r="4079" spans="6:9" x14ac:dyDescent="0.25">
      <c r="F4079" s="27"/>
    </row>
    <row r="4080" spans="6:9" x14ac:dyDescent="0.25">
      <c r="I4080" s="9"/>
    </row>
    <row r="4081" spans="3:9" x14ac:dyDescent="0.25">
      <c r="I4081" s="9"/>
    </row>
    <row r="4082" spans="3:9" x14ac:dyDescent="0.25">
      <c r="C4082" s="10"/>
      <c r="I4082" s="9"/>
    </row>
    <row r="4083" spans="3:9" x14ac:dyDescent="0.25">
      <c r="I4083" s="9"/>
    </row>
    <row r="4085" spans="3:9" x14ac:dyDescent="0.25">
      <c r="I4085" s="9"/>
    </row>
    <row r="4086" spans="3:9" x14ac:dyDescent="0.25">
      <c r="I4086" s="9"/>
    </row>
    <row r="4087" spans="3:9" x14ac:dyDescent="0.25">
      <c r="I4087" s="9"/>
    </row>
    <row r="4088" spans="3:9" x14ac:dyDescent="0.25">
      <c r="I4088" s="9"/>
    </row>
    <row r="4090" spans="3:9" x14ac:dyDescent="0.25">
      <c r="I4090" s="9"/>
    </row>
    <row r="4091" spans="3:9" x14ac:dyDescent="0.25">
      <c r="I4091" s="9"/>
    </row>
    <row r="4102" spans="6:9" x14ac:dyDescent="0.25">
      <c r="F4102" s="26"/>
    </row>
    <row r="4103" spans="6:9" x14ac:dyDescent="0.25">
      <c r="F4103" s="27"/>
    </row>
    <row r="4112" spans="6:9" x14ac:dyDescent="0.25">
      <c r="I4112" s="9"/>
    </row>
    <row r="4115" spans="6:11" x14ac:dyDescent="0.25">
      <c r="K4115" s="8"/>
    </row>
    <row r="4125" spans="6:11" x14ac:dyDescent="0.25">
      <c r="F4125" s="26"/>
    </row>
    <row r="4126" spans="6:11" x14ac:dyDescent="0.25">
      <c r="F4126" s="27"/>
    </row>
    <row r="4130" spans="7:9" x14ac:dyDescent="0.25">
      <c r="I4130" s="9"/>
    </row>
    <row r="4135" spans="7:9" x14ac:dyDescent="0.25">
      <c r="G4135" s="9"/>
      <c r="H4135" s="9"/>
      <c r="I4135" s="9"/>
    </row>
    <row r="4146" spans="6:9" x14ac:dyDescent="0.25">
      <c r="F4146" s="26"/>
    </row>
    <row r="4147" spans="6:9" x14ac:dyDescent="0.25">
      <c r="F4147" s="27"/>
    </row>
    <row r="4152" spans="6:9" x14ac:dyDescent="0.25">
      <c r="I4152" s="9"/>
    </row>
    <row r="4154" spans="6:9" x14ac:dyDescent="0.25">
      <c r="I4154" s="9"/>
    </row>
    <row r="4165" spans="6:9" x14ac:dyDescent="0.25">
      <c r="F4165" s="26"/>
    </row>
    <row r="4166" spans="6:9" x14ac:dyDescent="0.25">
      <c r="F4166" s="27"/>
    </row>
    <row r="4167" spans="6:9" x14ac:dyDescent="0.25">
      <c r="F4167" s="27"/>
    </row>
    <row r="4168" spans="6:9" x14ac:dyDescent="0.25">
      <c r="I4168" s="9"/>
    </row>
    <row r="4175" spans="6:9" x14ac:dyDescent="0.25">
      <c r="I4175" s="9"/>
    </row>
    <row r="4181" spans="6:9" x14ac:dyDescent="0.25">
      <c r="I4181" s="9"/>
    </row>
    <row r="4189" spans="6:9" x14ac:dyDescent="0.25">
      <c r="F4189" s="26"/>
    </row>
    <row r="4190" spans="6:9" x14ac:dyDescent="0.25">
      <c r="F4190" s="27"/>
    </row>
    <row r="4191" spans="6:9" x14ac:dyDescent="0.25">
      <c r="I4191" s="9"/>
    </row>
    <row r="4193" spans="9:9" x14ac:dyDescent="0.25">
      <c r="I4193" s="9"/>
    </row>
    <row r="4197" spans="9:9" x14ac:dyDescent="0.25">
      <c r="I4197" s="9"/>
    </row>
    <row r="4199" spans="9:9" x14ac:dyDescent="0.25">
      <c r="I4199" s="9"/>
    </row>
    <row r="4200" spans="9:9" x14ac:dyDescent="0.25">
      <c r="I4200" s="9"/>
    </row>
    <row r="4202" spans="9:9" x14ac:dyDescent="0.25">
      <c r="I4202" s="9"/>
    </row>
    <row r="4204" spans="9:9" x14ac:dyDescent="0.25">
      <c r="I4204" s="9"/>
    </row>
    <row r="4205" spans="9:9" x14ac:dyDescent="0.25">
      <c r="I4205" s="9"/>
    </row>
    <row r="4207" spans="9:9" x14ac:dyDescent="0.25">
      <c r="I4207" s="9"/>
    </row>
    <row r="4213" spans="6:9" x14ac:dyDescent="0.25">
      <c r="I4213" s="9"/>
    </row>
    <row r="4214" spans="6:9" x14ac:dyDescent="0.25">
      <c r="I4214" s="9"/>
    </row>
    <row r="4215" spans="6:9" x14ac:dyDescent="0.25">
      <c r="F4215" s="26"/>
      <c r="I4215" s="9"/>
    </row>
    <row r="4216" spans="6:9" x14ac:dyDescent="0.25">
      <c r="F4216" s="27"/>
    </row>
    <row r="4217" spans="6:9" x14ac:dyDescent="0.25">
      <c r="I4217" s="9"/>
    </row>
    <row r="4224" spans="6:9" x14ac:dyDescent="0.25">
      <c r="G4224" s="9"/>
      <c r="I4224" s="9"/>
    </row>
    <row r="4225" spans="6:9" x14ac:dyDescent="0.25">
      <c r="G4225" s="9"/>
      <c r="I4225" s="9"/>
    </row>
    <row r="4228" spans="6:9" x14ac:dyDescent="0.25">
      <c r="H4228" s="9"/>
      <c r="I4228" s="9"/>
    </row>
    <row r="4229" spans="6:9" x14ac:dyDescent="0.25">
      <c r="H4229" s="9"/>
      <c r="I4229" s="9"/>
    </row>
    <row r="4231" spans="6:9" x14ac:dyDescent="0.25">
      <c r="H4231" s="9"/>
      <c r="I4231" s="9"/>
    </row>
    <row r="4232" spans="6:9" x14ac:dyDescent="0.25">
      <c r="H4232" s="9"/>
      <c r="I4232" s="9"/>
    </row>
    <row r="4233" spans="6:9" x14ac:dyDescent="0.25">
      <c r="H4233" s="9"/>
      <c r="I4233" s="9"/>
    </row>
    <row r="4234" spans="6:9" x14ac:dyDescent="0.25">
      <c r="H4234" s="9"/>
      <c r="I4234" s="9"/>
    </row>
    <row r="4236" spans="6:9" x14ac:dyDescent="0.25">
      <c r="H4236" s="9"/>
      <c r="I4236" s="9"/>
    </row>
    <row r="4238" spans="6:9" x14ac:dyDescent="0.25">
      <c r="H4238" s="9"/>
      <c r="I4238" s="9"/>
    </row>
    <row r="4239" spans="6:9" x14ac:dyDescent="0.25">
      <c r="F4239" s="26"/>
      <c r="H4239" s="9"/>
      <c r="I4239" s="9"/>
    </row>
    <row r="4240" spans="6:9" x14ac:dyDescent="0.25">
      <c r="F4240" s="27"/>
      <c r="H4240" s="9"/>
      <c r="I4240" s="9"/>
    </row>
    <row r="4242" spans="8:9" x14ac:dyDescent="0.25">
      <c r="H4242" s="9"/>
      <c r="I4242" s="9"/>
    </row>
    <row r="4243" spans="8:9" x14ac:dyDescent="0.25">
      <c r="H4243" s="9"/>
      <c r="I4243" s="9"/>
    </row>
    <row r="4245" spans="8:9" x14ac:dyDescent="0.25">
      <c r="H4245" s="9"/>
      <c r="I4245" s="9"/>
    </row>
    <row r="4248" spans="8:9" x14ac:dyDescent="0.25">
      <c r="H4248" s="9"/>
      <c r="I4248" s="9"/>
    </row>
    <row r="4251" spans="8:9" x14ac:dyDescent="0.25">
      <c r="H4251" s="9"/>
      <c r="I4251" s="9"/>
    </row>
    <row r="4255" spans="8:9" x14ac:dyDescent="0.25">
      <c r="H4255" s="9"/>
      <c r="I4255" s="9"/>
    </row>
    <row r="4256" spans="8:9" x14ac:dyDescent="0.25">
      <c r="H4256" s="9"/>
      <c r="I4256" s="9"/>
    </row>
    <row r="4261" spans="6:9" x14ac:dyDescent="0.25">
      <c r="H4261" s="9"/>
      <c r="I4261" s="9"/>
    </row>
    <row r="4262" spans="6:9" x14ac:dyDescent="0.25">
      <c r="H4262" s="9"/>
      <c r="I4262" s="9"/>
    </row>
    <row r="4265" spans="6:9" x14ac:dyDescent="0.25">
      <c r="H4265" s="9"/>
      <c r="I4265" s="9"/>
    </row>
    <row r="4272" spans="6:9" x14ac:dyDescent="0.25">
      <c r="F4272" s="26"/>
    </row>
    <row r="4273" spans="6:9" x14ac:dyDescent="0.25">
      <c r="F4273" s="27"/>
      <c r="H4273" s="9"/>
      <c r="I4273" s="9"/>
    </row>
    <row r="4276" spans="6:9" x14ac:dyDescent="0.25">
      <c r="H4276" s="9"/>
      <c r="I4276" s="9"/>
    </row>
    <row r="4278" spans="6:9" x14ac:dyDescent="0.25">
      <c r="H4278" s="9"/>
      <c r="I4278" s="9"/>
    </row>
    <row r="4284" spans="6:9" x14ac:dyDescent="0.25">
      <c r="H4284" s="9"/>
      <c r="I4284" s="9"/>
    </row>
    <row r="4286" spans="6:9" x14ac:dyDescent="0.25">
      <c r="H4286" s="9"/>
      <c r="I4286" s="9"/>
    </row>
    <row r="4289" spans="7:9" x14ac:dyDescent="0.25">
      <c r="H4289" s="9"/>
      <c r="I4289" s="9"/>
    </row>
    <row r="4291" spans="7:9" x14ac:dyDescent="0.25">
      <c r="H4291" s="9"/>
      <c r="I4291" s="9"/>
    </row>
    <row r="4292" spans="7:9" x14ac:dyDescent="0.25">
      <c r="H4292" s="9"/>
      <c r="I4292" s="9"/>
    </row>
    <row r="4293" spans="7:9" x14ac:dyDescent="0.25">
      <c r="I4293" s="9"/>
    </row>
    <row r="4294" spans="7:9" x14ac:dyDescent="0.25">
      <c r="H4294" s="9"/>
      <c r="I4294" s="9"/>
    </row>
    <row r="4295" spans="7:9" x14ac:dyDescent="0.25">
      <c r="G4295" s="9"/>
      <c r="I4295" s="9"/>
    </row>
    <row r="4298" spans="7:9" x14ac:dyDescent="0.25">
      <c r="H4298" s="9"/>
      <c r="I4298" s="9"/>
    </row>
    <row r="4300" spans="7:9" x14ac:dyDescent="0.25">
      <c r="G4300" s="9"/>
      <c r="I4300" s="9"/>
    </row>
    <row r="4302" spans="7:9" x14ac:dyDescent="0.25">
      <c r="H4302" s="9"/>
      <c r="I4302" s="9"/>
    </row>
    <row r="4303" spans="7:9" x14ac:dyDescent="0.25">
      <c r="H4303" s="9"/>
      <c r="I4303" s="9"/>
    </row>
    <row r="4304" spans="7:9" x14ac:dyDescent="0.25">
      <c r="H4304" s="9"/>
      <c r="I4304" s="9"/>
    </row>
    <row r="4305" spans="6:9" x14ac:dyDescent="0.25">
      <c r="H4305" s="9"/>
      <c r="I4305" s="9"/>
    </row>
    <row r="4306" spans="6:9" x14ac:dyDescent="0.25">
      <c r="H4306" s="9"/>
      <c r="I4306" s="9"/>
    </row>
    <row r="4307" spans="6:9" x14ac:dyDescent="0.25">
      <c r="H4307" s="9"/>
      <c r="I4307" s="9"/>
    </row>
    <row r="4308" spans="6:9" x14ac:dyDescent="0.25">
      <c r="H4308" s="9"/>
      <c r="I4308" s="9"/>
    </row>
    <row r="4309" spans="6:9" x14ac:dyDescent="0.25">
      <c r="H4309" s="9"/>
      <c r="I4309" s="9"/>
    </row>
    <row r="4310" spans="6:9" x14ac:dyDescent="0.25">
      <c r="H4310" s="9"/>
      <c r="I4310" s="9"/>
    </row>
    <row r="4312" spans="6:9" x14ac:dyDescent="0.25">
      <c r="H4312" s="9"/>
      <c r="I4312" s="9"/>
    </row>
    <row r="4313" spans="6:9" x14ac:dyDescent="0.25">
      <c r="F4313" s="26"/>
    </row>
    <row r="4314" spans="6:9" x14ac:dyDescent="0.25">
      <c r="F4314" s="27"/>
      <c r="H4314" s="9"/>
      <c r="I4314" s="9"/>
    </row>
    <row r="4315" spans="6:9" x14ac:dyDescent="0.25">
      <c r="H4315" s="9"/>
      <c r="I4315" s="9"/>
    </row>
    <row r="4316" spans="6:9" x14ac:dyDescent="0.25">
      <c r="H4316" s="9"/>
      <c r="I4316" s="9"/>
    </row>
    <row r="4318" spans="6:9" x14ac:dyDescent="0.25">
      <c r="H4318" s="9"/>
      <c r="I4318" s="9"/>
    </row>
    <row r="4319" spans="6:9" x14ac:dyDescent="0.25">
      <c r="H4319" s="9"/>
      <c r="I4319" s="9"/>
    </row>
    <row r="4320" spans="6:9" x14ac:dyDescent="0.25">
      <c r="H4320" s="9"/>
      <c r="I4320" s="9"/>
    </row>
    <row r="4324" spans="8:9" x14ac:dyDescent="0.25">
      <c r="H4324" s="9"/>
      <c r="I4324" s="9"/>
    </row>
    <row r="4325" spans="8:9" x14ac:dyDescent="0.25">
      <c r="I4325" s="9"/>
    </row>
    <row r="4330" spans="8:9" x14ac:dyDescent="0.25">
      <c r="I4330" s="9"/>
    </row>
    <row r="4341" spans="6:9" x14ac:dyDescent="0.25">
      <c r="F4341" s="26"/>
    </row>
    <row r="4342" spans="6:9" x14ac:dyDescent="0.25">
      <c r="F4342" s="27"/>
    </row>
    <row r="4347" spans="6:9" x14ac:dyDescent="0.25">
      <c r="H4347" s="9"/>
      <c r="I4347" s="9"/>
    </row>
    <row r="4364" spans="6:9" x14ac:dyDescent="0.25">
      <c r="F4364" s="26"/>
    </row>
    <row r="4365" spans="6:9" x14ac:dyDescent="0.25">
      <c r="F4365" s="27"/>
    </row>
    <row r="4366" spans="6:9" x14ac:dyDescent="0.25">
      <c r="H4366" s="9"/>
      <c r="I4366" s="9"/>
    </row>
    <row r="4367" spans="6:9" x14ac:dyDescent="0.25">
      <c r="H4367" s="9"/>
      <c r="I4367" s="9"/>
    </row>
    <row r="4372" spans="8:9" x14ac:dyDescent="0.25">
      <c r="I4372" s="9"/>
    </row>
    <row r="4374" spans="8:9" x14ac:dyDescent="0.25">
      <c r="H4374" s="9"/>
      <c r="I4374" s="9"/>
    </row>
    <row r="4379" spans="8:9" x14ac:dyDescent="0.25">
      <c r="H4379" s="9"/>
      <c r="I4379" s="9"/>
    </row>
    <row r="4382" spans="8:9" x14ac:dyDescent="0.25">
      <c r="H4382" s="9"/>
      <c r="I4382" s="9"/>
    </row>
    <row r="4384" spans="8:9" x14ac:dyDescent="0.25">
      <c r="H4384" s="9"/>
      <c r="I4384" s="9"/>
    </row>
    <row r="4385" spans="3:9" x14ac:dyDescent="0.25">
      <c r="H4385" s="9"/>
    </row>
    <row r="4386" spans="3:9" x14ac:dyDescent="0.25">
      <c r="C4386" s="10"/>
      <c r="H4386" s="9"/>
      <c r="I4386" s="9"/>
    </row>
    <row r="4388" spans="3:9" x14ac:dyDescent="0.25">
      <c r="H4388" s="9"/>
      <c r="I4388" s="9"/>
    </row>
    <row r="4389" spans="3:9" x14ac:dyDescent="0.25">
      <c r="H4389" s="9"/>
      <c r="I4389" s="9"/>
    </row>
    <row r="4390" spans="3:9" x14ac:dyDescent="0.25">
      <c r="I4390" s="9"/>
    </row>
    <row r="4392" spans="3:9" x14ac:dyDescent="0.25">
      <c r="H4392" s="9"/>
      <c r="I4392" s="9"/>
    </row>
    <row r="4393" spans="3:9" x14ac:dyDescent="0.25">
      <c r="H4393" s="9"/>
      <c r="I4393" s="9"/>
    </row>
    <row r="4394" spans="3:9" x14ac:dyDescent="0.25">
      <c r="H4394" s="9"/>
      <c r="I4394" s="9"/>
    </row>
    <row r="4396" spans="3:9" x14ac:dyDescent="0.25">
      <c r="H4396" s="9"/>
      <c r="I4396" s="9"/>
    </row>
    <row r="4397" spans="3:9" x14ac:dyDescent="0.25">
      <c r="H4397" s="9"/>
      <c r="I4397" s="9"/>
    </row>
    <row r="4398" spans="3:9" x14ac:dyDescent="0.25">
      <c r="H4398" s="9"/>
      <c r="I4398" s="9"/>
    </row>
    <row r="4399" spans="3:9" x14ac:dyDescent="0.25">
      <c r="F4399" s="26"/>
    </row>
    <row r="4400" spans="3:9" x14ac:dyDescent="0.25">
      <c r="F4400" s="27"/>
      <c r="H4400" s="9"/>
      <c r="I4400" s="9"/>
    </row>
    <row r="4402" spans="8:9" x14ac:dyDescent="0.25">
      <c r="H4402" s="9"/>
      <c r="I4402" s="9"/>
    </row>
    <row r="4403" spans="8:9" x14ac:dyDescent="0.25">
      <c r="H4403" s="9"/>
      <c r="I4403" s="9"/>
    </row>
    <row r="4404" spans="8:9" x14ac:dyDescent="0.25">
      <c r="I4404" s="9"/>
    </row>
    <row r="4405" spans="8:9" x14ac:dyDescent="0.25">
      <c r="H4405" s="9"/>
      <c r="I4405" s="9"/>
    </row>
    <row r="4406" spans="8:9" x14ac:dyDescent="0.25">
      <c r="I4406" s="9"/>
    </row>
    <row r="4409" spans="8:9" x14ac:dyDescent="0.25">
      <c r="H4409" s="9"/>
      <c r="I4409" s="9"/>
    </row>
    <row r="4410" spans="8:9" x14ac:dyDescent="0.25">
      <c r="H4410" s="9"/>
      <c r="I4410" s="9"/>
    </row>
    <row r="4412" spans="8:9" x14ac:dyDescent="0.25">
      <c r="H4412" s="9"/>
      <c r="I4412" s="9"/>
    </row>
    <row r="4413" spans="8:9" x14ac:dyDescent="0.25">
      <c r="I4413" s="9"/>
    </row>
    <row r="4415" spans="8:9" x14ac:dyDescent="0.25">
      <c r="I4415" s="9"/>
    </row>
    <row r="4416" spans="8:9" x14ac:dyDescent="0.25">
      <c r="H4416" s="9"/>
      <c r="I4416" s="9"/>
    </row>
    <row r="4417" spans="8:9" x14ac:dyDescent="0.25">
      <c r="I4417" s="9"/>
    </row>
    <row r="4418" spans="8:9" x14ac:dyDescent="0.25">
      <c r="H4418" s="9"/>
      <c r="I4418" s="9"/>
    </row>
    <row r="4419" spans="8:9" x14ac:dyDescent="0.25">
      <c r="I4419" s="9"/>
    </row>
    <row r="4420" spans="8:9" x14ac:dyDescent="0.25">
      <c r="H4420" s="9"/>
      <c r="I4420" s="9"/>
    </row>
    <row r="4421" spans="8:9" x14ac:dyDescent="0.25">
      <c r="I4421" s="9"/>
    </row>
    <row r="4422" spans="8:9" x14ac:dyDescent="0.25">
      <c r="I4422" s="9"/>
    </row>
    <row r="4423" spans="8:9" x14ac:dyDescent="0.25">
      <c r="I4423" s="9"/>
    </row>
    <row r="4424" spans="8:9" x14ac:dyDescent="0.25">
      <c r="I4424" s="9"/>
    </row>
    <row r="4426" spans="8:9" x14ac:dyDescent="0.25">
      <c r="H4426" s="9"/>
      <c r="I4426" s="9"/>
    </row>
    <row r="4427" spans="8:9" x14ac:dyDescent="0.25">
      <c r="H4427" s="9"/>
      <c r="I4427" s="9"/>
    </row>
    <row r="4428" spans="8:9" x14ac:dyDescent="0.25">
      <c r="I4428" s="9"/>
    </row>
    <row r="4429" spans="8:9" x14ac:dyDescent="0.25">
      <c r="H4429" s="9"/>
      <c r="I4429" s="9"/>
    </row>
    <row r="4430" spans="8:9" x14ac:dyDescent="0.25">
      <c r="I4430" s="9"/>
    </row>
    <row r="4431" spans="8:9" x14ac:dyDescent="0.25">
      <c r="I4431" s="9"/>
    </row>
    <row r="4435" spans="6:9" x14ac:dyDescent="0.25">
      <c r="I4435" s="9"/>
    </row>
    <row r="4436" spans="6:9" x14ac:dyDescent="0.25">
      <c r="I4436" s="9"/>
    </row>
    <row r="4437" spans="6:9" x14ac:dyDescent="0.25">
      <c r="I4437" s="9"/>
    </row>
    <row r="4439" spans="6:9" x14ac:dyDescent="0.25">
      <c r="I4439" s="9"/>
    </row>
    <row r="4440" spans="6:9" x14ac:dyDescent="0.25">
      <c r="I4440" s="9"/>
    </row>
    <row r="4442" spans="6:9" x14ac:dyDescent="0.25">
      <c r="F4442" s="26"/>
    </row>
    <row r="4443" spans="6:9" x14ac:dyDescent="0.25">
      <c r="F4443" s="27"/>
      <c r="I4443" s="9"/>
    </row>
    <row r="4447" spans="6:9" x14ac:dyDescent="0.25">
      <c r="I4447" s="9"/>
    </row>
    <row r="4450" spans="9:11" x14ac:dyDescent="0.25">
      <c r="I4450" s="9"/>
    </row>
    <row r="4454" spans="9:11" x14ac:dyDescent="0.25">
      <c r="I4454" s="9"/>
    </row>
    <row r="4462" spans="9:11" x14ac:dyDescent="0.25">
      <c r="I4462" s="9"/>
      <c r="K4462" s="9"/>
    </row>
    <row r="4463" spans="9:11" x14ac:dyDescent="0.25">
      <c r="I4463" s="9"/>
    </row>
    <row r="4466" spans="6:9" x14ac:dyDescent="0.25">
      <c r="I4466" s="9"/>
    </row>
    <row r="4467" spans="6:9" x14ac:dyDescent="0.25">
      <c r="I4467" s="9"/>
    </row>
    <row r="4468" spans="6:9" x14ac:dyDescent="0.25">
      <c r="I4468" s="9"/>
    </row>
    <row r="4469" spans="6:9" x14ac:dyDescent="0.25">
      <c r="I4469" s="9"/>
    </row>
    <row r="4471" spans="6:9" x14ac:dyDescent="0.25">
      <c r="I4471" s="9"/>
    </row>
    <row r="4473" spans="6:9" x14ac:dyDescent="0.25">
      <c r="I4473" s="9"/>
    </row>
    <row r="4474" spans="6:9" x14ac:dyDescent="0.25">
      <c r="F4474" s="26"/>
      <c r="I4474" s="9"/>
    </row>
    <row r="4475" spans="6:9" x14ac:dyDescent="0.25">
      <c r="F4475" s="27"/>
      <c r="I4475" s="9"/>
    </row>
    <row r="4476" spans="6:9" x14ac:dyDescent="0.25">
      <c r="I4476" s="9"/>
    </row>
    <row r="4478" spans="6:9" x14ac:dyDescent="0.25">
      <c r="I4478" s="9"/>
    </row>
    <row r="4486" spans="9:9" x14ac:dyDescent="0.25">
      <c r="I4486" s="9"/>
    </row>
    <row r="4490" spans="9:9" x14ac:dyDescent="0.25">
      <c r="I4490" s="9"/>
    </row>
    <row r="4496" spans="9:9" x14ac:dyDescent="0.25">
      <c r="I4496" s="9"/>
    </row>
    <row r="4501" spans="6:9" x14ac:dyDescent="0.25">
      <c r="F4501" s="26"/>
    </row>
    <row r="4502" spans="6:9" x14ac:dyDescent="0.25">
      <c r="F4502" s="27"/>
    </row>
    <row r="4503" spans="6:9" x14ac:dyDescent="0.25">
      <c r="G4503" s="9"/>
      <c r="H4503" s="9"/>
      <c r="I4503" s="9"/>
    </row>
    <row r="4506" spans="6:9" x14ac:dyDescent="0.25">
      <c r="I4506" s="9"/>
    </row>
    <row r="4507" spans="6:9" x14ac:dyDescent="0.25">
      <c r="I4507" s="9"/>
    </row>
    <row r="4509" spans="6:9" x14ac:dyDescent="0.25">
      <c r="I4509" s="9"/>
    </row>
    <row r="4510" spans="6:9" x14ac:dyDescent="0.25">
      <c r="I4510" s="9"/>
    </row>
    <row r="4511" spans="6:9" x14ac:dyDescent="0.25">
      <c r="I4511" s="9"/>
    </row>
    <row r="4512" spans="6:9" x14ac:dyDescent="0.25">
      <c r="G4512" s="9"/>
      <c r="H4512" s="9"/>
      <c r="I4512" s="9"/>
    </row>
    <row r="4514" spans="6:9" x14ac:dyDescent="0.25">
      <c r="I4514" s="9"/>
    </row>
    <row r="4515" spans="6:9" x14ac:dyDescent="0.25">
      <c r="G4515" s="9"/>
      <c r="H4515" s="9"/>
      <c r="I4515" s="9"/>
    </row>
    <row r="4520" spans="6:9" x14ac:dyDescent="0.25">
      <c r="F4520" s="26"/>
    </row>
    <row r="4521" spans="6:9" x14ac:dyDescent="0.25">
      <c r="F4521" s="27"/>
    </row>
    <row r="4525" spans="6:9" x14ac:dyDescent="0.25">
      <c r="G4525" s="9"/>
      <c r="H4525" s="9"/>
      <c r="I4525" s="9"/>
    </row>
    <row r="4528" spans="6:9" x14ac:dyDescent="0.25">
      <c r="I4528" s="9"/>
    </row>
    <row r="4529" spans="6:9" x14ac:dyDescent="0.25">
      <c r="I4529" s="9"/>
    </row>
    <row r="4530" spans="6:9" x14ac:dyDescent="0.25">
      <c r="F4530" s="26"/>
    </row>
    <row r="4531" spans="6:9" x14ac:dyDescent="0.25">
      <c r="F4531" s="27"/>
      <c r="I4531" s="9"/>
    </row>
    <row r="4532" spans="6:9" x14ac:dyDescent="0.25">
      <c r="I4532" s="9"/>
    </row>
    <row r="4534" spans="6:9" x14ac:dyDescent="0.25">
      <c r="I4534" s="9"/>
    </row>
    <row r="4535" spans="6:9" x14ac:dyDescent="0.25">
      <c r="I4535" s="9"/>
    </row>
    <row r="4537" spans="6:9" x14ac:dyDescent="0.25">
      <c r="I4537" s="9"/>
    </row>
    <row r="4539" spans="6:9" x14ac:dyDescent="0.25">
      <c r="I4539" s="9"/>
    </row>
    <row r="4545" spans="6:9" x14ac:dyDescent="0.25">
      <c r="I4545" s="9"/>
    </row>
    <row r="4546" spans="6:9" x14ac:dyDescent="0.25">
      <c r="I4546" s="9"/>
    </row>
    <row r="4550" spans="6:9" x14ac:dyDescent="0.25">
      <c r="I4550" s="9"/>
    </row>
    <row r="4553" spans="6:9" x14ac:dyDescent="0.25">
      <c r="F4553" s="26"/>
    </row>
    <row r="4554" spans="6:9" x14ac:dyDescent="0.25">
      <c r="F4554" s="27"/>
    </row>
    <row r="4555" spans="6:9" x14ac:dyDescent="0.25">
      <c r="I4555" s="9"/>
    </row>
    <row r="4557" spans="6:9" x14ac:dyDescent="0.25">
      <c r="I4557" s="9"/>
    </row>
    <row r="4560" spans="6:9" x14ac:dyDescent="0.25">
      <c r="I4560" s="9"/>
    </row>
    <row r="4561" spans="9:9" x14ac:dyDescent="0.25">
      <c r="I4561" s="9"/>
    </row>
    <row r="4579" spans="6:9" x14ac:dyDescent="0.25">
      <c r="I4579" s="9"/>
    </row>
    <row r="4581" spans="6:9" x14ac:dyDescent="0.25">
      <c r="F4581" s="26"/>
    </row>
    <row r="4582" spans="6:9" x14ac:dyDescent="0.25">
      <c r="F4582" s="27"/>
    </row>
    <row r="4583" spans="6:9" x14ac:dyDescent="0.25">
      <c r="I4583" s="9"/>
    </row>
    <row r="4584" spans="6:9" x14ac:dyDescent="0.25">
      <c r="G4584" s="9"/>
      <c r="H4584" s="9"/>
      <c r="I4584" s="9"/>
    </row>
    <row r="4586" spans="6:9" x14ac:dyDescent="0.25">
      <c r="I4586" s="9"/>
    </row>
    <row r="4587" spans="6:9" x14ac:dyDescent="0.25">
      <c r="I4587" s="9"/>
    </row>
    <row r="4590" spans="6:9" x14ac:dyDescent="0.25">
      <c r="I4590" s="9"/>
    </row>
    <row r="4591" spans="6:9" x14ac:dyDescent="0.25">
      <c r="I4591" s="9"/>
    </row>
    <row r="4593" spans="6:9" x14ac:dyDescent="0.25">
      <c r="I4593" s="9"/>
    </row>
    <row r="4595" spans="6:9" x14ac:dyDescent="0.25">
      <c r="I4595" s="9"/>
    </row>
    <row r="4596" spans="6:9" x14ac:dyDescent="0.25">
      <c r="I4596" s="9"/>
    </row>
    <row r="4598" spans="6:9" x14ac:dyDescent="0.25">
      <c r="I4598" s="9"/>
    </row>
    <row r="4599" spans="6:9" x14ac:dyDescent="0.25">
      <c r="I4599" s="9"/>
    </row>
    <row r="4601" spans="6:9" x14ac:dyDescent="0.25">
      <c r="F4601" s="26"/>
      <c r="I4601" s="9"/>
    </row>
    <row r="4602" spans="6:9" x14ac:dyDescent="0.25">
      <c r="F4602" s="27"/>
    </row>
    <row r="4603" spans="6:9" x14ac:dyDescent="0.25">
      <c r="I4603" s="9"/>
    </row>
    <row r="4605" spans="6:9" x14ac:dyDescent="0.25">
      <c r="I4605" s="9"/>
    </row>
    <row r="4614" spans="6:9" x14ac:dyDescent="0.25">
      <c r="I4614" s="9"/>
    </row>
    <row r="4615" spans="6:9" x14ac:dyDescent="0.25">
      <c r="I4615" s="9"/>
    </row>
    <row r="4617" spans="6:9" x14ac:dyDescent="0.25">
      <c r="I4617" s="9"/>
    </row>
    <row r="4618" spans="6:9" x14ac:dyDescent="0.25">
      <c r="I4618" s="9"/>
    </row>
    <row r="4619" spans="6:9" x14ac:dyDescent="0.25">
      <c r="G4619" s="9"/>
      <c r="H4619" s="9"/>
      <c r="I4619" s="9"/>
    </row>
    <row r="4620" spans="6:9" x14ac:dyDescent="0.25">
      <c r="F4620" s="26"/>
    </row>
    <row r="4621" spans="6:9" x14ac:dyDescent="0.25">
      <c r="F4621" s="27"/>
      <c r="I4621" s="9"/>
    </row>
    <row r="4622" spans="6:9" x14ac:dyDescent="0.25">
      <c r="F4622" s="27"/>
      <c r="I4622" s="9"/>
    </row>
    <row r="4623" spans="6:9" x14ac:dyDescent="0.25">
      <c r="G4623" s="9"/>
      <c r="H4623" s="9"/>
      <c r="I4623" s="9"/>
    </row>
    <row r="4626" spans="6:9" x14ac:dyDescent="0.25">
      <c r="I4626" s="9"/>
    </row>
    <row r="4627" spans="6:9" x14ac:dyDescent="0.25">
      <c r="I4627" s="9"/>
    </row>
    <row r="4630" spans="6:9" x14ac:dyDescent="0.25">
      <c r="G4630" s="9"/>
      <c r="H4630" s="9"/>
      <c r="I4630" s="9"/>
    </row>
    <row r="4632" spans="6:9" x14ac:dyDescent="0.25">
      <c r="G4632" s="9"/>
      <c r="H4632" s="9"/>
      <c r="I4632" s="9"/>
    </row>
    <row r="4634" spans="6:9" x14ac:dyDescent="0.25">
      <c r="G4634" s="9"/>
      <c r="H4634" s="9"/>
      <c r="I4634" s="9"/>
    </row>
    <row r="4636" spans="6:9" x14ac:dyDescent="0.25">
      <c r="G4636" s="9"/>
      <c r="H4636" s="9"/>
      <c r="I4636" s="9"/>
    </row>
    <row r="4638" spans="6:9" x14ac:dyDescent="0.25">
      <c r="G4638" s="9"/>
      <c r="H4638" s="9"/>
      <c r="I4638" s="9"/>
    </row>
    <row r="4639" spans="6:9" x14ac:dyDescent="0.25">
      <c r="F4639" s="26"/>
    </row>
    <row r="4640" spans="6:9" x14ac:dyDescent="0.25">
      <c r="F4640" s="27"/>
      <c r="I4640" s="9"/>
    </row>
    <row r="4642" spans="9:9" x14ac:dyDescent="0.25">
      <c r="I4642" s="9"/>
    </row>
    <row r="4643" spans="9:9" x14ac:dyDescent="0.25">
      <c r="I4643" s="9"/>
    </row>
    <row r="4645" spans="9:9" x14ac:dyDescent="0.25">
      <c r="I4645" s="9"/>
    </row>
    <row r="4649" spans="9:9" x14ac:dyDescent="0.25">
      <c r="I4649" s="9"/>
    </row>
    <row r="4650" spans="9:9" x14ac:dyDescent="0.25">
      <c r="I4650" s="9"/>
    </row>
    <row r="4652" spans="9:9" x14ac:dyDescent="0.25">
      <c r="I4652" s="9"/>
    </row>
    <row r="4653" spans="9:9" x14ac:dyDescent="0.25">
      <c r="I4653" s="9"/>
    </row>
    <row r="4654" spans="9:9" x14ac:dyDescent="0.25">
      <c r="I4654" s="9"/>
    </row>
    <row r="4656" spans="9:9" x14ac:dyDescent="0.25">
      <c r="I4656" s="9"/>
    </row>
    <row r="4658" spans="6:9" x14ac:dyDescent="0.25">
      <c r="I4658" s="9"/>
    </row>
    <row r="4659" spans="6:9" x14ac:dyDescent="0.25">
      <c r="F4659" s="26"/>
      <c r="I4659" s="9"/>
    </row>
    <row r="4660" spans="6:9" x14ac:dyDescent="0.25">
      <c r="F4660" s="27"/>
    </row>
    <row r="4661" spans="6:9" x14ac:dyDescent="0.25">
      <c r="I4661" s="9"/>
    </row>
    <row r="4662" spans="6:9" x14ac:dyDescent="0.25">
      <c r="I4662" s="9"/>
    </row>
    <row r="4673" spans="6:9" x14ac:dyDescent="0.25">
      <c r="I4673" s="9"/>
    </row>
    <row r="4675" spans="6:9" x14ac:dyDescent="0.25">
      <c r="H4675" s="9"/>
      <c r="I4675" s="9"/>
    </row>
    <row r="4678" spans="6:9" x14ac:dyDescent="0.25">
      <c r="F4678" s="26"/>
    </row>
    <row r="4679" spans="6:9" x14ac:dyDescent="0.25">
      <c r="F4679" s="27"/>
    </row>
    <row r="4680" spans="6:9" x14ac:dyDescent="0.25">
      <c r="I4680" s="9"/>
    </row>
    <row r="4681" spans="6:9" x14ac:dyDescent="0.25">
      <c r="I4681" s="9"/>
    </row>
    <row r="4682" spans="6:9" x14ac:dyDescent="0.25">
      <c r="H4682" s="9"/>
      <c r="I4682" s="9"/>
    </row>
    <row r="4685" spans="6:9" x14ac:dyDescent="0.25">
      <c r="I4685" s="9"/>
    </row>
    <row r="4686" spans="6:9" x14ac:dyDescent="0.25">
      <c r="I4686" s="9"/>
    </row>
    <row r="4687" spans="6:9" x14ac:dyDescent="0.25">
      <c r="I4687" s="9"/>
    </row>
    <row r="4696" spans="6:6" x14ac:dyDescent="0.25">
      <c r="F4696" s="26"/>
    </row>
    <row r="4697" spans="6:6" x14ac:dyDescent="0.25">
      <c r="F4697" s="27"/>
    </row>
    <row r="4708" spans="6:9" x14ac:dyDescent="0.25">
      <c r="H4708" s="9"/>
    </row>
    <row r="4713" spans="6:9" x14ac:dyDescent="0.25">
      <c r="I4713" s="9"/>
    </row>
    <row r="4715" spans="6:9" x14ac:dyDescent="0.25">
      <c r="I4715" s="9"/>
    </row>
    <row r="4716" spans="6:9" x14ac:dyDescent="0.25">
      <c r="I4716" s="9"/>
    </row>
    <row r="4718" spans="6:9" x14ac:dyDescent="0.25">
      <c r="F4718" s="26"/>
    </row>
    <row r="4719" spans="6:9" x14ac:dyDescent="0.25">
      <c r="F4719" s="27"/>
    </row>
    <row r="4725" spans="9:11" x14ac:dyDescent="0.25">
      <c r="I4725" s="9"/>
    </row>
    <row r="4727" spans="9:11" x14ac:dyDescent="0.25">
      <c r="I4727" s="9"/>
    </row>
    <row r="4730" spans="9:11" x14ac:dyDescent="0.25">
      <c r="K4730" s="8"/>
    </row>
    <row r="4735" spans="9:11" x14ac:dyDescent="0.25">
      <c r="I4735" s="9"/>
    </row>
    <row r="4736" spans="9:11" x14ac:dyDescent="0.25">
      <c r="K4736" s="8"/>
    </row>
    <row r="4739" spans="6:9" x14ac:dyDescent="0.25">
      <c r="I4739" s="9"/>
    </row>
    <row r="4749" spans="6:9" x14ac:dyDescent="0.25">
      <c r="F4749" s="26"/>
    </row>
    <row r="4750" spans="6:9" x14ac:dyDescent="0.25">
      <c r="F4750" s="27"/>
    </row>
    <row r="4751" spans="6:9" x14ac:dyDescent="0.25">
      <c r="I4751" s="9"/>
    </row>
    <row r="4754" spans="8:9" x14ac:dyDescent="0.25">
      <c r="I4754" s="9"/>
    </row>
    <row r="4756" spans="8:9" x14ac:dyDescent="0.25">
      <c r="I4756" s="9"/>
    </row>
    <row r="4757" spans="8:9" x14ac:dyDescent="0.25">
      <c r="H4757" s="9"/>
    </row>
    <row r="4759" spans="8:9" x14ac:dyDescent="0.25">
      <c r="H4759" s="9"/>
    </row>
    <row r="4761" spans="8:9" x14ac:dyDescent="0.25">
      <c r="H4761" s="9"/>
    </row>
    <row r="4762" spans="8:9" x14ac:dyDescent="0.25">
      <c r="H4762" s="9"/>
      <c r="I4762" s="9"/>
    </row>
    <row r="4763" spans="8:9" x14ac:dyDescent="0.25">
      <c r="H4763" s="9"/>
      <c r="I4763" s="9"/>
    </row>
    <row r="4766" spans="8:9" x14ac:dyDescent="0.25">
      <c r="H4766" s="9"/>
      <c r="I4766" s="9"/>
    </row>
    <row r="4775" spans="6:8" x14ac:dyDescent="0.25">
      <c r="H4775" s="9"/>
    </row>
    <row r="4783" spans="6:8" x14ac:dyDescent="0.25">
      <c r="F4783" s="26"/>
    </row>
    <row r="4784" spans="6:8" x14ac:dyDescent="0.25">
      <c r="F4784" s="27"/>
    </row>
    <row r="4786" spans="3:8" x14ac:dyDescent="0.25">
      <c r="H4786" s="9"/>
    </row>
    <row r="4787" spans="3:8" x14ac:dyDescent="0.25">
      <c r="C4787" s="18"/>
      <c r="H4787" s="9"/>
    </row>
    <row r="4789" spans="3:8" x14ac:dyDescent="0.25">
      <c r="H4789" s="9"/>
    </row>
    <row r="4805" spans="6:8" x14ac:dyDescent="0.25">
      <c r="H4805" s="9"/>
    </row>
    <row r="4807" spans="6:8" x14ac:dyDescent="0.25">
      <c r="F4807" s="26"/>
    </row>
    <row r="4808" spans="6:8" x14ac:dyDescent="0.25">
      <c r="F4808" s="27"/>
    </row>
    <row r="4819" spans="6:11" x14ac:dyDescent="0.25">
      <c r="H4819" s="9"/>
    </row>
    <row r="4820" spans="6:11" x14ac:dyDescent="0.25">
      <c r="H4820" s="9"/>
    </row>
    <row r="4825" spans="6:11" x14ac:dyDescent="0.25">
      <c r="K4825" s="8"/>
    </row>
    <row r="4832" spans="6:11" x14ac:dyDescent="0.25">
      <c r="F4832" s="26"/>
    </row>
    <row r="4833" spans="6:11" x14ac:dyDescent="0.25">
      <c r="F4833" s="27"/>
      <c r="H4833" s="9"/>
    </row>
    <row r="4838" spans="6:11" x14ac:dyDescent="0.25">
      <c r="H4838" s="9"/>
    </row>
    <row r="4840" spans="6:11" x14ac:dyDescent="0.25">
      <c r="H4840" s="9"/>
    </row>
    <row r="4843" spans="6:11" x14ac:dyDescent="0.25">
      <c r="I4843" s="9"/>
    </row>
    <row r="4848" spans="6:11" x14ac:dyDescent="0.25">
      <c r="K4848" s="8"/>
    </row>
    <row r="4849" spans="6:11" x14ac:dyDescent="0.25">
      <c r="I4849" s="9"/>
    </row>
    <row r="4851" spans="6:11" x14ac:dyDescent="0.25">
      <c r="K4851" s="8"/>
    </row>
    <row r="4855" spans="6:11" x14ac:dyDescent="0.25">
      <c r="I4855" s="9"/>
    </row>
    <row r="4857" spans="6:11" x14ac:dyDescent="0.25">
      <c r="I4857" s="9"/>
    </row>
    <row r="4859" spans="6:11" x14ac:dyDescent="0.25">
      <c r="I4859" s="9"/>
    </row>
    <row r="4861" spans="6:11" x14ac:dyDescent="0.25">
      <c r="K4861" s="8"/>
    </row>
    <row r="4862" spans="6:11" x14ac:dyDescent="0.25">
      <c r="F4862" s="26"/>
    </row>
    <row r="4863" spans="6:11" x14ac:dyDescent="0.25">
      <c r="F4863" s="27"/>
      <c r="I4863" s="9"/>
    </row>
    <row r="4865" spans="8:11" x14ac:dyDescent="0.25">
      <c r="I4865" s="9"/>
    </row>
    <row r="4866" spans="8:11" x14ac:dyDescent="0.25">
      <c r="I4866" s="9"/>
    </row>
    <row r="4867" spans="8:11" x14ac:dyDescent="0.25">
      <c r="H4867" s="9"/>
    </row>
    <row r="4868" spans="8:11" x14ac:dyDescent="0.25">
      <c r="I4868" s="9"/>
    </row>
    <row r="4870" spans="8:11" x14ac:dyDescent="0.25">
      <c r="I4870" s="9"/>
    </row>
    <row r="4872" spans="8:11" x14ac:dyDescent="0.25">
      <c r="K4872" s="8"/>
    </row>
    <row r="4874" spans="8:11" x14ac:dyDescent="0.25">
      <c r="I4874" s="9"/>
    </row>
    <row r="4876" spans="8:11" x14ac:dyDescent="0.25">
      <c r="I4876" s="9"/>
    </row>
    <row r="4878" spans="8:11" x14ac:dyDescent="0.25">
      <c r="I4878" s="9"/>
    </row>
    <row r="4880" spans="8:11" x14ac:dyDescent="0.25">
      <c r="I4880" s="9"/>
    </row>
    <row r="4881" spans="8:11" x14ac:dyDescent="0.25">
      <c r="I4881" s="9"/>
    </row>
    <row r="4883" spans="8:11" x14ac:dyDescent="0.25">
      <c r="I4883" s="9"/>
    </row>
    <row r="4885" spans="8:11" x14ac:dyDescent="0.25">
      <c r="H4885" s="9"/>
      <c r="I4885" s="9"/>
    </row>
    <row r="4889" spans="8:11" x14ac:dyDescent="0.25">
      <c r="K4889" s="5"/>
    </row>
    <row r="4890" spans="8:11" x14ac:dyDescent="0.25">
      <c r="H4890" s="9"/>
      <c r="K4890" s="5"/>
    </row>
    <row r="4891" spans="8:11" x14ac:dyDescent="0.25">
      <c r="H4891" s="9"/>
    </row>
    <row r="4893" spans="8:11" x14ac:dyDescent="0.25">
      <c r="H4893" s="9"/>
    </row>
    <row r="4901" spans="6:11" x14ac:dyDescent="0.25">
      <c r="I4901" s="9"/>
    </row>
    <row r="4902" spans="6:11" x14ac:dyDescent="0.25">
      <c r="F4902" s="26"/>
      <c r="K4902" s="3"/>
    </row>
    <row r="4903" spans="6:11" x14ac:dyDescent="0.25">
      <c r="F4903" s="27"/>
    </row>
    <row r="4904" spans="6:11" x14ac:dyDescent="0.25">
      <c r="K4904" s="8"/>
    </row>
    <row r="4907" spans="6:11" x14ac:dyDescent="0.25">
      <c r="I4907" s="9"/>
    </row>
    <row r="4913" spans="8:9" x14ac:dyDescent="0.25">
      <c r="H4913" s="9"/>
      <c r="I4913" s="9"/>
    </row>
    <row r="4920" spans="8:9" x14ac:dyDescent="0.25">
      <c r="H4920" s="9"/>
    </row>
    <row r="4921" spans="8:9" x14ac:dyDescent="0.25">
      <c r="I4921" s="9"/>
    </row>
    <row r="4922" spans="8:9" x14ac:dyDescent="0.25">
      <c r="H4922" s="9"/>
    </row>
    <row r="4926" spans="8:9" x14ac:dyDescent="0.25">
      <c r="H4926" s="9"/>
    </row>
    <row r="4929" spans="6:11" x14ac:dyDescent="0.25">
      <c r="H4929" s="9"/>
    </row>
    <row r="4931" spans="6:11" x14ac:dyDescent="0.25">
      <c r="H4931" s="9"/>
    </row>
    <row r="4934" spans="6:11" x14ac:dyDescent="0.25">
      <c r="K4934" s="8"/>
    </row>
    <row r="4936" spans="6:11" x14ac:dyDescent="0.25">
      <c r="H4936" s="9"/>
    </row>
    <row r="4937" spans="6:11" x14ac:dyDescent="0.25">
      <c r="I4937" s="9"/>
    </row>
    <row r="4938" spans="6:11" x14ac:dyDescent="0.25">
      <c r="I4938" s="9"/>
    </row>
    <row r="4939" spans="6:11" x14ac:dyDescent="0.25">
      <c r="F4939" s="26"/>
      <c r="H4939" s="9"/>
    </row>
    <row r="4940" spans="6:11" x14ac:dyDescent="0.25">
      <c r="F4940" s="27"/>
    </row>
    <row r="4941" spans="6:11" x14ac:dyDescent="0.25">
      <c r="I4941" s="9"/>
    </row>
    <row r="4944" spans="6:11" x14ac:dyDescent="0.25">
      <c r="K4944" s="8"/>
    </row>
    <row r="4946" spans="8:9" x14ac:dyDescent="0.25">
      <c r="I4946" s="9"/>
    </row>
    <row r="4947" spans="8:9" x14ac:dyDescent="0.25">
      <c r="H4947" s="9"/>
    </row>
    <row r="4948" spans="8:9" x14ac:dyDescent="0.25">
      <c r="I4948" s="9"/>
    </row>
    <row r="4949" spans="8:9" x14ac:dyDescent="0.25">
      <c r="H4949" s="9"/>
    </row>
    <row r="4954" spans="8:9" x14ac:dyDescent="0.25">
      <c r="H4954" s="9"/>
    </row>
    <row r="4956" spans="8:9" x14ac:dyDescent="0.25">
      <c r="H4956" s="9"/>
    </row>
    <row r="4957" spans="8:9" x14ac:dyDescent="0.25">
      <c r="H4957" s="9"/>
    </row>
    <row r="4960" spans="8:9" x14ac:dyDescent="0.25">
      <c r="H4960" s="9"/>
    </row>
    <row r="4961" spans="6:11" x14ac:dyDescent="0.25">
      <c r="H4961" s="9"/>
    </row>
    <row r="4962" spans="6:11" x14ac:dyDescent="0.25">
      <c r="H4962" s="9"/>
    </row>
    <row r="4964" spans="6:11" x14ac:dyDescent="0.25">
      <c r="I4964" s="9"/>
      <c r="K4964" s="8"/>
    </row>
    <row r="4968" spans="6:11" x14ac:dyDescent="0.25">
      <c r="H4968" s="9"/>
    </row>
    <row r="4969" spans="6:11" x14ac:dyDescent="0.25">
      <c r="H4969" s="9"/>
    </row>
    <row r="4971" spans="6:11" x14ac:dyDescent="0.25">
      <c r="F4971" s="26"/>
    </row>
    <row r="4972" spans="6:11" x14ac:dyDescent="0.25">
      <c r="F4972" s="27"/>
    </row>
    <row r="4973" spans="6:11" x14ac:dyDescent="0.25">
      <c r="H4973" s="9"/>
    </row>
    <row r="4974" spans="6:11" x14ac:dyDescent="0.25">
      <c r="H4974" s="9"/>
    </row>
    <row r="4977" spans="8:9" x14ac:dyDescent="0.25">
      <c r="H4977" s="9"/>
    </row>
    <row r="4978" spans="8:9" x14ac:dyDescent="0.25">
      <c r="H4978" s="9"/>
      <c r="I4978" s="9"/>
    </row>
    <row r="4979" spans="8:9" x14ac:dyDescent="0.25">
      <c r="H4979" s="9"/>
      <c r="I4979" s="9"/>
    </row>
    <row r="4982" spans="8:9" x14ac:dyDescent="0.25">
      <c r="H4982" s="9"/>
      <c r="I4982" s="9"/>
    </row>
    <row r="4985" spans="8:9" x14ac:dyDescent="0.25">
      <c r="H4985" s="9"/>
      <c r="I4985" s="9"/>
    </row>
    <row r="4987" spans="8:9" x14ac:dyDescent="0.25">
      <c r="I4987" s="9"/>
    </row>
    <row r="4989" spans="8:9" x14ac:dyDescent="0.25">
      <c r="I4989" s="9"/>
    </row>
    <row r="4991" spans="8:9" x14ac:dyDescent="0.25">
      <c r="I4991" s="9"/>
    </row>
    <row r="4993" spans="6:9" x14ac:dyDescent="0.25">
      <c r="I4993" s="9"/>
    </row>
    <row r="4995" spans="6:9" x14ac:dyDescent="0.25">
      <c r="H4995" s="9"/>
      <c r="I4995" s="9"/>
    </row>
    <row r="4996" spans="6:9" x14ac:dyDescent="0.25">
      <c r="I4996" s="9"/>
    </row>
    <row r="4997" spans="6:9" x14ac:dyDescent="0.25">
      <c r="I4997" s="9"/>
    </row>
    <row r="4998" spans="6:9" x14ac:dyDescent="0.25">
      <c r="I4998" s="9"/>
    </row>
    <row r="5000" spans="6:9" x14ac:dyDescent="0.25">
      <c r="H5000" s="9"/>
    </row>
    <row r="5003" spans="6:9" x14ac:dyDescent="0.25">
      <c r="F5003" s="26"/>
      <c r="I5003" s="9"/>
    </row>
    <row r="5004" spans="6:9" x14ac:dyDescent="0.25">
      <c r="F5004" s="27"/>
    </row>
    <row r="5005" spans="6:9" x14ac:dyDescent="0.25">
      <c r="I5005" s="9"/>
    </row>
    <row r="5006" spans="6:9" x14ac:dyDescent="0.25">
      <c r="I5006" s="9"/>
    </row>
    <row r="5007" spans="6:9" x14ac:dyDescent="0.25">
      <c r="H5007" s="9"/>
      <c r="I5007" s="9"/>
    </row>
    <row r="5008" spans="6:9" x14ac:dyDescent="0.25">
      <c r="I5008" s="9"/>
    </row>
    <row r="5009" spans="8:9" x14ac:dyDescent="0.25">
      <c r="I5009" s="9"/>
    </row>
    <row r="5010" spans="8:9" x14ac:dyDescent="0.25">
      <c r="H5010" s="9"/>
    </row>
    <row r="5011" spans="8:9" x14ac:dyDescent="0.25">
      <c r="H5011" s="9"/>
      <c r="I5011" s="9"/>
    </row>
    <row r="5013" spans="8:9" x14ac:dyDescent="0.25">
      <c r="H5013" s="9"/>
      <c r="I5013" s="9"/>
    </row>
    <row r="5015" spans="8:9" x14ac:dyDescent="0.25">
      <c r="H5015" s="9"/>
      <c r="I5015" s="9"/>
    </row>
    <row r="5016" spans="8:9" x14ac:dyDescent="0.25">
      <c r="I5016" s="9"/>
    </row>
    <row r="5017" spans="8:9" x14ac:dyDescent="0.25">
      <c r="H5017" s="9"/>
      <c r="I5017" s="9"/>
    </row>
    <row r="5018" spans="8:9" x14ac:dyDescent="0.25">
      <c r="I5018" s="9"/>
    </row>
    <row r="5020" spans="8:9" x14ac:dyDescent="0.25">
      <c r="I5020" s="9"/>
    </row>
    <row r="5021" spans="8:9" x14ac:dyDescent="0.25">
      <c r="H5021" s="9"/>
      <c r="I5021" s="9"/>
    </row>
    <row r="5022" spans="8:9" x14ac:dyDescent="0.25">
      <c r="H5022" s="9"/>
      <c r="I5022" s="9"/>
    </row>
    <row r="5023" spans="8:9" x14ac:dyDescent="0.25">
      <c r="I5023" s="9"/>
    </row>
    <row r="5025" spans="6:11" x14ac:dyDescent="0.25">
      <c r="I5025" s="9"/>
    </row>
    <row r="5026" spans="6:11" x14ac:dyDescent="0.25">
      <c r="I5026" s="9"/>
    </row>
    <row r="5028" spans="6:11" x14ac:dyDescent="0.25">
      <c r="H5028" s="9"/>
      <c r="I5028" s="9"/>
    </row>
    <row r="5030" spans="6:11" x14ac:dyDescent="0.25">
      <c r="I5030" s="9"/>
    </row>
    <row r="5033" spans="6:11" x14ac:dyDescent="0.25">
      <c r="F5033" s="26"/>
    </row>
    <row r="5034" spans="6:11" x14ac:dyDescent="0.25">
      <c r="F5034" s="27"/>
    </row>
    <row r="5035" spans="6:11" x14ac:dyDescent="0.25">
      <c r="F5035" s="27"/>
    </row>
    <row r="5036" spans="6:11" x14ac:dyDescent="0.25">
      <c r="F5036" s="27"/>
    </row>
    <row r="5037" spans="6:11" x14ac:dyDescent="0.25">
      <c r="H5037" s="9"/>
      <c r="I5037" s="9"/>
      <c r="K5037" s="8"/>
    </row>
    <row r="5042" spans="8:9" x14ac:dyDescent="0.25">
      <c r="I5042" s="9"/>
    </row>
    <row r="5045" spans="8:9" x14ac:dyDescent="0.25">
      <c r="I5045" s="9"/>
    </row>
    <row r="5047" spans="8:9" x14ac:dyDescent="0.25">
      <c r="H5047" s="9"/>
    </row>
    <row r="5052" spans="8:9" x14ac:dyDescent="0.25">
      <c r="I5052" s="9"/>
    </row>
    <row r="5058" spans="6:9" x14ac:dyDescent="0.25">
      <c r="H5058" s="9"/>
    </row>
    <row r="5059" spans="6:9" x14ac:dyDescent="0.25">
      <c r="F5059" s="26"/>
      <c r="H5059" s="9"/>
    </row>
    <row r="5060" spans="6:9" x14ac:dyDescent="0.25">
      <c r="F5060" s="27"/>
    </row>
    <row r="5061" spans="6:9" x14ac:dyDescent="0.25">
      <c r="H5061" s="9"/>
    </row>
    <row r="5063" spans="6:9" x14ac:dyDescent="0.25">
      <c r="H5063" s="9"/>
    </row>
    <row r="5064" spans="6:9" x14ac:dyDescent="0.25">
      <c r="H5064" s="9"/>
    </row>
    <row r="5068" spans="6:9" x14ac:dyDescent="0.25">
      <c r="H5068" s="9"/>
      <c r="I5068" s="9"/>
    </row>
    <row r="5070" spans="6:9" x14ac:dyDescent="0.25">
      <c r="H5070" s="9"/>
      <c r="I5070" s="9"/>
    </row>
    <row r="5072" spans="6:9" x14ac:dyDescent="0.25">
      <c r="H5072" s="9"/>
      <c r="I5072" s="9"/>
    </row>
    <row r="5073" spans="8:11" x14ac:dyDescent="0.25">
      <c r="H5073" s="9"/>
      <c r="I5073" s="9"/>
    </row>
    <row r="5074" spans="8:11" x14ac:dyDescent="0.25">
      <c r="I5074" s="9"/>
    </row>
    <row r="5075" spans="8:11" x14ac:dyDescent="0.25">
      <c r="H5075" s="9"/>
      <c r="I5075" s="9"/>
    </row>
    <row r="5076" spans="8:11" x14ac:dyDescent="0.25">
      <c r="H5076" s="9"/>
    </row>
    <row r="5079" spans="8:11" x14ac:dyDescent="0.25">
      <c r="H5079" s="9"/>
      <c r="K5079" s="8"/>
    </row>
    <row r="5080" spans="8:11" x14ac:dyDescent="0.25">
      <c r="K5080" s="8"/>
    </row>
    <row r="5081" spans="8:11" x14ac:dyDescent="0.25">
      <c r="I5081" s="9"/>
      <c r="K5081" s="8"/>
    </row>
    <row r="5082" spans="8:11" x14ac:dyDescent="0.25">
      <c r="H5082" s="9"/>
      <c r="K5082" s="8"/>
    </row>
    <row r="5083" spans="8:11" x14ac:dyDescent="0.25">
      <c r="H5083" s="9"/>
      <c r="K5083" s="8"/>
    </row>
    <row r="5084" spans="8:11" x14ac:dyDescent="0.25">
      <c r="K5084" s="8"/>
    </row>
    <row r="5085" spans="8:11" x14ac:dyDescent="0.25">
      <c r="K5085" s="8"/>
    </row>
    <row r="5087" spans="8:11" x14ac:dyDescent="0.25">
      <c r="K5087" s="8"/>
    </row>
    <row r="5089" spans="6:9" x14ac:dyDescent="0.25">
      <c r="H5089" s="9"/>
    </row>
    <row r="5090" spans="6:9" x14ac:dyDescent="0.25">
      <c r="F5090" s="26"/>
    </row>
    <row r="5091" spans="6:9" x14ac:dyDescent="0.25">
      <c r="F5091" s="27"/>
    </row>
    <row r="5093" spans="6:9" x14ac:dyDescent="0.25">
      <c r="H5093" s="9"/>
      <c r="I5093" s="9"/>
    </row>
    <row r="5096" spans="6:9" x14ac:dyDescent="0.25">
      <c r="I5096" s="9"/>
    </row>
    <row r="5098" spans="6:9" x14ac:dyDescent="0.25">
      <c r="I5098" s="9"/>
    </row>
    <row r="5099" spans="6:9" x14ac:dyDescent="0.25">
      <c r="H5099" s="9"/>
      <c r="I5099" s="9"/>
    </row>
    <row r="5106" spans="9:9" x14ac:dyDescent="0.25">
      <c r="I5106" s="9"/>
    </row>
    <row r="5108" spans="9:9" x14ac:dyDescent="0.25">
      <c r="I5108" s="9"/>
    </row>
    <row r="5110" spans="9:9" x14ac:dyDescent="0.25">
      <c r="I5110" s="9"/>
    </row>
    <row r="5111" spans="9:9" x14ac:dyDescent="0.25">
      <c r="I5111" s="9"/>
    </row>
    <row r="5121" spans="6:9" x14ac:dyDescent="0.25">
      <c r="I5121" s="9"/>
    </row>
    <row r="5122" spans="6:9" x14ac:dyDescent="0.25">
      <c r="I5122" s="9"/>
    </row>
    <row r="5127" spans="6:9" x14ac:dyDescent="0.25">
      <c r="I5127" s="9"/>
    </row>
    <row r="5128" spans="6:9" x14ac:dyDescent="0.25">
      <c r="F5128" s="26"/>
    </row>
    <row r="5129" spans="6:9" x14ac:dyDescent="0.25">
      <c r="F5129" s="27"/>
    </row>
    <row r="5134" spans="6:9" x14ac:dyDescent="0.25">
      <c r="I5134" s="9"/>
    </row>
    <row r="5145" spans="8:9" x14ac:dyDescent="0.25">
      <c r="I5145" s="9"/>
    </row>
    <row r="5150" spans="8:9" x14ac:dyDescent="0.25">
      <c r="H5150" s="9"/>
    </row>
    <row r="5151" spans="8:9" x14ac:dyDescent="0.25">
      <c r="I5151" s="9"/>
    </row>
    <row r="5164" spans="6:9" x14ac:dyDescent="0.25">
      <c r="F5164" s="26"/>
    </row>
    <row r="5165" spans="6:9" x14ac:dyDescent="0.25">
      <c r="F5165" s="27"/>
      <c r="I5165" s="9"/>
    </row>
    <row r="5166" spans="6:9" x14ac:dyDescent="0.25">
      <c r="I5166" s="9"/>
    </row>
    <row r="5169" spans="9:9" x14ac:dyDescent="0.25">
      <c r="I5169" s="9"/>
    </row>
    <row r="5170" spans="9:9" x14ac:dyDescent="0.25">
      <c r="I5170" s="9"/>
    </row>
    <row r="5172" spans="9:9" x14ac:dyDescent="0.25">
      <c r="I5172" s="9"/>
    </row>
    <row r="5175" spans="9:9" x14ac:dyDescent="0.25">
      <c r="I5175" s="9"/>
    </row>
    <row r="5179" spans="9:9" x14ac:dyDescent="0.25">
      <c r="I5179" s="9"/>
    </row>
    <row r="5180" spans="9:9" x14ac:dyDescent="0.25">
      <c r="I5180" s="9"/>
    </row>
    <row r="5183" spans="9:9" x14ac:dyDescent="0.25">
      <c r="I5183" s="9"/>
    </row>
    <row r="5191" spans="6:9" x14ac:dyDescent="0.25">
      <c r="I5191" s="9"/>
    </row>
    <row r="5193" spans="6:9" x14ac:dyDescent="0.25">
      <c r="F5193" s="26"/>
    </row>
    <row r="5194" spans="6:9" x14ac:dyDescent="0.25">
      <c r="F5194" s="27"/>
      <c r="H5194" s="9"/>
    </row>
    <row r="5195" spans="6:9" x14ac:dyDescent="0.25">
      <c r="H5195" s="9"/>
      <c r="I5195" s="9"/>
    </row>
    <row r="5197" spans="6:9" x14ac:dyDescent="0.25">
      <c r="I5197" s="9"/>
    </row>
    <row r="5200" spans="6:9" x14ac:dyDescent="0.25">
      <c r="H5200" s="9"/>
      <c r="I5200" s="9"/>
    </row>
    <row r="5220" spans="6:6" x14ac:dyDescent="0.25">
      <c r="F5220" s="26"/>
    </row>
    <row r="5221" spans="6:6" x14ac:dyDescent="0.25">
      <c r="F5221" s="27"/>
    </row>
    <row r="5239" spans="6:6" x14ac:dyDescent="0.25">
      <c r="F5239" s="26"/>
    </row>
    <row r="5240" spans="6:6" x14ac:dyDescent="0.25">
      <c r="F5240" s="27"/>
    </row>
    <row r="5252" spans="6:11" x14ac:dyDescent="0.25">
      <c r="K5252" s="8"/>
    </row>
    <row r="5258" spans="6:11" x14ac:dyDescent="0.25">
      <c r="F5258" s="26"/>
    </row>
    <row r="5259" spans="6:11" x14ac:dyDescent="0.25">
      <c r="F5259" s="27"/>
    </row>
    <row r="5279" spans="11:11" x14ac:dyDescent="0.25">
      <c r="K5279" s="8"/>
    </row>
    <row r="5284" spans="6:6" x14ac:dyDescent="0.25">
      <c r="F5284" s="26"/>
    </row>
    <row r="5285" spans="6:6" x14ac:dyDescent="0.25">
      <c r="F5285" s="27"/>
    </row>
    <row r="5305" spans="6:9" x14ac:dyDescent="0.25">
      <c r="I5305" s="9"/>
    </row>
    <row r="5307" spans="6:9" x14ac:dyDescent="0.25">
      <c r="I5307" s="9"/>
    </row>
    <row r="5309" spans="6:9" x14ac:dyDescent="0.25">
      <c r="H5309" s="9"/>
    </row>
    <row r="5311" spans="6:9" x14ac:dyDescent="0.25">
      <c r="I5311" s="9"/>
    </row>
    <row r="5312" spans="6:9" x14ac:dyDescent="0.25">
      <c r="F5312" s="26"/>
    </row>
    <row r="5313" spans="6:9" x14ac:dyDescent="0.25">
      <c r="F5313" s="27"/>
    </row>
    <row r="5315" spans="6:9" x14ac:dyDescent="0.25">
      <c r="H5315" s="9"/>
    </row>
    <row r="5318" spans="6:9" x14ac:dyDescent="0.25">
      <c r="H5318" s="9"/>
      <c r="I5318" s="9"/>
    </row>
    <row r="5324" spans="6:9" x14ac:dyDescent="0.25">
      <c r="H5324" s="9"/>
    </row>
    <row r="5327" spans="6:9" x14ac:dyDescent="0.25">
      <c r="H5327" s="9"/>
    </row>
    <row r="5328" spans="6:9" x14ac:dyDescent="0.25">
      <c r="H5328" s="9"/>
    </row>
    <row r="5330" spans="6:8" x14ac:dyDescent="0.25">
      <c r="H5330" s="9"/>
    </row>
    <row r="5331" spans="6:8" x14ac:dyDescent="0.25">
      <c r="H5331" s="9"/>
    </row>
    <row r="5334" spans="6:8" x14ac:dyDescent="0.25">
      <c r="H5334" s="9"/>
    </row>
    <row r="5337" spans="6:8" x14ac:dyDescent="0.25">
      <c r="H5337" s="9"/>
    </row>
    <row r="5338" spans="6:8" x14ac:dyDescent="0.25">
      <c r="H5338" s="9"/>
    </row>
    <row r="5340" spans="6:8" x14ac:dyDescent="0.25">
      <c r="F5340" s="26"/>
      <c r="H5340" s="9"/>
    </row>
    <row r="5341" spans="6:8" x14ac:dyDescent="0.25">
      <c r="F5341" s="27"/>
    </row>
    <row r="5342" spans="6:8" x14ac:dyDescent="0.25">
      <c r="H5342" s="9"/>
    </row>
    <row r="5343" spans="6:8" x14ac:dyDescent="0.25">
      <c r="H5343" s="9"/>
    </row>
    <row r="5345" spans="8:9" x14ac:dyDescent="0.25">
      <c r="H5345" s="9"/>
    </row>
    <row r="5346" spans="8:9" x14ac:dyDescent="0.25">
      <c r="H5346" s="9"/>
    </row>
    <row r="5349" spans="8:9" x14ac:dyDescent="0.25">
      <c r="H5349" s="9"/>
    </row>
    <row r="5352" spans="8:9" x14ac:dyDescent="0.25">
      <c r="H5352" s="9"/>
    </row>
    <row r="5353" spans="8:9" x14ac:dyDescent="0.25">
      <c r="H5353" s="9"/>
    </row>
    <row r="5354" spans="8:9" x14ac:dyDescent="0.25">
      <c r="H5354" s="9"/>
      <c r="I5354" s="9"/>
    </row>
    <row r="5355" spans="8:9" x14ac:dyDescent="0.25">
      <c r="H5355" s="9"/>
    </row>
    <row r="5363" spans="6:11" x14ac:dyDescent="0.25">
      <c r="H5363" s="9"/>
      <c r="K5363" s="5"/>
    </row>
    <row r="5364" spans="6:11" x14ac:dyDescent="0.25">
      <c r="K5364" s="5"/>
    </row>
    <row r="5365" spans="6:11" x14ac:dyDescent="0.25">
      <c r="H5365" s="9"/>
      <c r="K5365" s="5"/>
    </row>
    <row r="5366" spans="6:11" x14ac:dyDescent="0.25">
      <c r="H5366" s="9"/>
    </row>
    <row r="5368" spans="6:11" x14ac:dyDescent="0.25">
      <c r="H5368" s="9"/>
    </row>
    <row r="5369" spans="6:11" x14ac:dyDescent="0.25">
      <c r="H5369" s="9"/>
    </row>
    <row r="5370" spans="6:11" x14ac:dyDescent="0.25">
      <c r="H5370" s="9"/>
    </row>
    <row r="5371" spans="6:11" x14ac:dyDescent="0.25">
      <c r="F5371" s="26"/>
    </row>
    <row r="5372" spans="6:11" x14ac:dyDescent="0.25">
      <c r="F5372" s="27"/>
    </row>
    <row r="5374" spans="6:11" x14ac:dyDescent="0.25">
      <c r="H5374" s="9"/>
    </row>
    <row r="5375" spans="6:11" x14ac:dyDescent="0.25">
      <c r="H5375" s="9"/>
    </row>
    <row r="5377" spans="8:11" x14ac:dyDescent="0.25">
      <c r="H5377" s="9"/>
    </row>
    <row r="5381" spans="8:11" x14ac:dyDescent="0.25">
      <c r="H5381" s="9"/>
    </row>
    <row r="5382" spans="8:11" x14ac:dyDescent="0.25">
      <c r="H5382" s="9"/>
    </row>
    <row r="5385" spans="8:11" x14ac:dyDescent="0.25">
      <c r="H5385" s="9"/>
    </row>
    <row r="5386" spans="8:11" x14ac:dyDescent="0.25">
      <c r="H5386" s="9"/>
    </row>
    <row r="5387" spans="8:11" x14ac:dyDescent="0.25">
      <c r="H5387" s="9"/>
    </row>
    <row r="5388" spans="8:11" x14ac:dyDescent="0.25">
      <c r="H5388" s="9"/>
    </row>
    <row r="5389" spans="8:11" x14ac:dyDescent="0.25">
      <c r="H5389" s="9"/>
    </row>
    <row r="5391" spans="8:11" x14ac:dyDescent="0.25">
      <c r="H5391" s="9"/>
      <c r="K5391" s="5"/>
    </row>
    <row r="5392" spans="8:11" x14ac:dyDescent="0.25">
      <c r="H5392" s="9"/>
      <c r="K5392" s="5"/>
    </row>
    <row r="5393" spans="6:9" x14ac:dyDescent="0.25">
      <c r="I5393" s="9"/>
    </row>
    <row r="5395" spans="6:9" x14ac:dyDescent="0.25">
      <c r="H5395" s="9"/>
    </row>
    <row r="5396" spans="6:9" x14ac:dyDescent="0.25">
      <c r="H5396" s="9"/>
    </row>
    <row r="5398" spans="6:9" x14ac:dyDescent="0.25">
      <c r="H5398" s="9"/>
    </row>
    <row r="5399" spans="6:9" x14ac:dyDescent="0.25">
      <c r="F5399" s="26"/>
    </row>
    <row r="5400" spans="6:9" x14ac:dyDescent="0.25">
      <c r="F5400" s="27"/>
      <c r="H5400" s="9"/>
    </row>
    <row r="5401" spans="6:9" x14ac:dyDescent="0.25">
      <c r="H5401" s="9"/>
    </row>
    <row r="5403" spans="6:9" x14ac:dyDescent="0.25">
      <c r="H5403" s="9"/>
    </row>
    <row r="5404" spans="6:9" x14ac:dyDescent="0.25">
      <c r="H5404" s="9"/>
    </row>
    <row r="5406" spans="6:9" x14ac:dyDescent="0.25">
      <c r="H5406" s="9"/>
    </row>
    <row r="5407" spans="6:9" x14ac:dyDescent="0.25">
      <c r="H5407" s="9"/>
    </row>
    <row r="5409" spans="6:9" x14ac:dyDescent="0.25">
      <c r="H5409" s="9"/>
    </row>
    <row r="5410" spans="6:9" x14ac:dyDescent="0.25">
      <c r="H5410" s="9"/>
    </row>
    <row r="5411" spans="6:9" x14ac:dyDescent="0.25">
      <c r="H5411" s="9"/>
    </row>
    <row r="5412" spans="6:9" x14ac:dyDescent="0.25">
      <c r="H5412" s="9"/>
    </row>
    <row r="5414" spans="6:9" x14ac:dyDescent="0.25">
      <c r="H5414" s="9"/>
    </row>
    <row r="5415" spans="6:9" x14ac:dyDescent="0.25">
      <c r="H5415" s="9"/>
    </row>
    <row r="5416" spans="6:9" x14ac:dyDescent="0.25">
      <c r="H5416" s="9"/>
    </row>
    <row r="5417" spans="6:9" x14ac:dyDescent="0.25">
      <c r="H5417" s="9"/>
    </row>
    <row r="5419" spans="6:9" x14ac:dyDescent="0.25">
      <c r="H5419" s="9"/>
    </row>
    <row r="5420" spans="6:9" x14ac:dyDescent="0.25">
      <c r="H5420" s="9"/>
      <c r="I5420" s="9"/>
    </row>
    <row r="5421" spans="6:9" x14ac:dyDescent="0.25">
      <c r="H5421" s="9"/>
    </row>
    <row r="5422" spans="6:9" x14ac:dyDescent="0.25">
      <c r="F5422" s="26"/>
    </row>
    <row r="5423" spans="6:9" x14ac:dyDescent="0.25">
      <c r="F5423" s="27"/>
      <c r="H5423" s="9"/>
    </row>
    <row r="5424" spans="6:9" x14ac:dyDescent="0.25">
      <c r="H5424" s="9"/>
    </row>
    <row r="5426" spans="7:9" x14ac:dyDescent="0.25">
      <c r="G5426" s="9"/>
      <c r="H5426" s="9"/>
      <c r="I5426" s="9"/>
    </row>
    <row r="5428" spans="7:9" x14ac:dyDescent="0.25">
      <c r="G5428" s="9"/>
      <c r="H5428" s="9"/>
      <c r="I5428" s="9"/>
    </row>
    <row r="5429" spans="7:9" x14ac:dyDescent="0.25">
      <c r="H5429" s="9"/>
    </row>
    <row r="5431" spans="7:9" x14ac:dyDescent="0.25">
      <c r="G5431" s="9"/>
      <c r="H5431" s="9"/>
      <c r="I5431" s="9"/>
    </row>
    <row r="5432" spans="7:9" x14ac:dyDescent="0.25">
      <c r="H5432" s="9"/>
      <c r="I5432" s="9"/>
    </row>
    <row r="5433" spans="7:9" x14ac:dyDescent="0.25">
      <c r="H5433" s="9"/>
    </row>
    <row r="5434" spans="7:9" x14ac:dyDescent="0.25">
      <c r="H5434" s="9"/>
    </row>
    <row r="5436" spans="7:9" x14ac:dyDescent="0.25">
      <c r="H5436" s="9"/>
    </row>
    <row r="5437" spans="7:9" x14ac:dyDescent="0.25">
      <c r="H5437" s="9"/>
    </row>
    <row r="5439" spans="7:9" x14ac:dyDescent="0.25">
      <c r="I5439" s="9"/>
    </row>
    <row r="5443" spans="6:9" x14ac:dyDescent="0.25">
      <c r="H5443" s="9"/>
    </row>
    <row r="5444" spans="6:9" x14ac:dyDescent="0.25">
      <c r="F5444" s="26"/>
      <c r="H5444" s="9"/>
      <c r="I5444" s="9"/>
    </row>
    <row r="5445" spans="6:9" x14ac:dyDescent="0.25">
      <c r="F5445" s="27"/>
      <c r="H5445" s="9"/>
      <c r="I5445" s="9"/>
    </row>
    <row r="5446" spans="6:9" x14ac:dyDescent="0.25">
      <c r="I5446" s="9"/>
    </row>
    <row r="5448" spans="6:9" x14ac:dyDescent="0.25">
      <c r="H5448" s="9"/>
      <c r="I5448" s="9"/>
    </row>
    <row r="5450" spans="6:9" x14ac:dyDescent="0.25">
      <c r="H5450" s="9"/>
    </row>
    <row r="5451" spans="6:9" x14ac:dyDescent="0.25">
      <c r="H5451" s="9"/>
    </row>
    <row r="5452" spans="6:9" x14ac:dyDescent="0.25">
      <c r="H5452" s="9"/>
    </row>
    <row r="5454" spans="6:9" x14ac:dyDescent="0.25">
      <c r="I5454" s="9"/>
    </row>
    <row r="5455" spans="6:9" x14ac:dyDescent="0.25">
      <c r="H5455" s="9"/>
      <c r="I5455" s="9"/>
    </row>
    <row r="5456" spans="6:9" x14ac:dyDescent="0.25">
      <c r="I5456" s="9"/>
    </row>
    <row r="5458" spans="6:9" x14ac:dyDescent="0.25">
      <c r="I5458" s="9"/>
    </row>
    <row r="5459" spans="6:9" x14ac:dyDescent="0.25">
      <c r="H5459" s="9"/>
      <c r="I5459" s="9"/>
    </row>
    <row r="5460" spans="6:9" x14ac:dyDescent="0.25">
      <c r="I5460" s="9"/>
    </row>
    <row r="5461" spans="6:9" x14ac:dyDescent="0.25">
      <c r="I5461" s="9"/>
    </row>
    <row r="5463" spans="6:9" x14ac:dyDescent="0.25">
      <c r="H5463" s="9"/>
      <c r="I5463" s="9"/>
    </row>
    <row r="5464" spans="6:9" x14ac:dyDescent="0.25">
      <c r="H5464" s="9"/>
      <c r="I5464" s="9"/>
    </row>
    <row r="5465" spans="6:9" x14ac:dyDescent="0.25">
      <c r="I5465" s="9"/>
    </row>
    <row r="5466" spans="6:9" x14ac:dyDescent="0.25">
      <c r="F5466" s="26"/>
      <c r="H5466" s="9"/>
      <c r="I5466" s="9"/>
    </row>
    <row r="5467" spans="6:9" x14ac:dyDescent="0.25">
      <c r="F5467" s="27"/>
    </row>
    <row r="5468" spans="6:9" x14ac:dyDescent="0.25">
      <c r="H5468" s="9"/>
      <c r="I5468" s="9"/>
    </row>
    <row r="5469" spans="6:9" x14ac:dyDescent="0.25">
      <c r="H5469" s="9"/>
      <c r="I5469" s="9"/>
    </row>
    <row r="5470" spans="6:9" x14ac:dyDescent="0.25">
      <c r="H5470" s="9"/>
    </row>
    <row r="5471" spans="6:9" x14ac:dyDescent="0.25">
      <c r="H5471" s="9"/>
      <c r="I5471" s="9"/>
    </row>
    <row r="5473" spans="1:11" x14ac:dyDescent="0.25">
      <c r="K5473" s="8"/>
    </row>
    <row r="5474" spans="1:11" x14ac:dyDescent="0.25">
      <c r="H5474" s="9"/>
    </row>
    <row r="5475" spans="1:11" x14ac:dyDescent="0.25">
      <c r="H5475" s="9"/>
    </row>
    <row r="5476" spans="1:11" x14ac:dyDescent="0.25">
      <c r="H5476" s="9"/>
    </row>
    <row r="5477" spans="1:11" x14ac:dyDescent="0.25">
      <c r="K5477" s="8"/>
    </row>
    <row r="5479" spans="1:11" x14ac:dyDescent="0.25">
      <c r="K5479" s="8"/>
    </row>
    <row r="5480" spans="1:11" x14ac:dyDescent="0.25">
      <c r="K5480" s="8"/>
    </row>
    <row r="5481" spans="1:11" x14ac:dyDescent="0.25">
      <c r="I5481" s="9"/>
    </row>
    <row r="5482" spans="1:11" x14ac:dyDescent="0.25">
      <c r="A5482" s="53"/>
      <c r="I5482" s="9"/>
    </row>
    <row r="5483" spans="1:11" x14ac:dyDescent="0.25">
      <c r="H5483" s="9"/>
    </row>
    <row r="5484" spans="1:11" x14ac:dyDescent="0.25">
      <c r="H5484" s="9"/>
      <c r="I5484" s="9"/>
    </row>
    <row r="5485" spans="1:11" x14ac:dyDescent="0.25">
      <c r="H5485" s="9"/>
      <c r="I5485" s="9"/>
    </row>
    <row r="5486" spans="1:11" x14ac:dyDescent="0.25">
      <c r="H5486" s="9"/>
      <c r="K5486" s="19"/>
    </row>
    <row r="5487" spans="1:11" x14ac:dyDescent="0.25">
      <c r="H5487" s="9"/>
      <c r="K5487" s="19"/>
    </row>
    <row r="5488" spans="1:11" x14ac:dyDescent="0.25">
      <c r="H5488" s="9"/>
      <c r="I5488" s="9"/>
      <c r="K5488" s="19"/>
    </row>
    <row r="5489" spans="6:11" x14ac:dyDescent="0.25">
      <c r="H5489" s="9"/>
      <c r="I5489" s="9"/>
      <c r="K5489" s="19"/>
    </row>
    <row r="5490" spans="6:11" x14ac:dyDescent="0.25">
      <c r="I5490" s="9"/>
      <c r="K5490" s="19"/>
    </row>
    <row r="5491" spans="6:11" x14ac:dyDescent="0.25">
      <c r="H5491" s="9"/>
      <c r="K5491" s="19"/>
    </row>
    <row r="5492" spans="6:11" x14ac:dyDescent="0.25">
      <c r="H5492" s="9"/>
    </row>
    <row r="5493" spans="6:11" x14ac:dyDescent="0.25">
      <c r="I5493" s="9"/>
    </row>
    <row r="5495" spans="6:11" x14ac:dyDescent="0.25">
      <c r="H5495" s="9"/>
      <c r="I5495" s="9"/>
    </row>
    <row r="5496" spans="6:11" x14ac:dyDescent="0.25">
      <c r="H5496" s="9"/>
      <c r="I5496" s="9"/>
    </row>
    <row r="5497" spans="6:11" x14ac:dyDescent="0.25">
      <c r="I5497" s="9"/>
    </row>
    <row r="5498" spans="6:11" x14ac:dyDescent="0.25">
      <c r="F5498" s="26"/>
      <c r="H5498" s="9"/>
    </row>
    <row r="5499" spans="6:11" x14ac:dyDescent="0.25">
      <c r="F5499" s="27"/>
      <c r="H5499" s="9"/>
    </row>
    <row r="5501" spans="6:11" x14ac:dyDescent="0.25">
      <c r="H5501" s="9"/>
      <c r="I5501" s="9"/>
    </row>
    <row r="5502" spans="6:11" x14ac:dyDescent="0.25">
      <c r="H5502" s="9"/>
    </row>
    <row r="5503" spans="6:11" x14ac:dyDescent="0.25">
      <c r="H5503" s="9"/>
    </row>
    <row r="5504" spans="6:11" x14ac:dyDescent="0.25">
      <c r="H5504" s="9"/>
    </row>
    <row r="5506" spans="8:11" x14ac:dyDescent="0.25">
      <c r="H5506" s="9"/>
    </row>
    <row r="5507" spans="8:11" x14ac:dyDescent="0.25">
      <c r="H5507" s="9"/>
    </row>
    <row r="5508" spans="8:11" x14ac:dyDescent="0.25">
      <c r="H5508" s="9"/>
      <c r="I5508" s="9"/>
    </row>
    <row r="5511" spans="8:11" x14ac:dyDescent="0.25">
      <c r="H5511" s="9"/>
    </row>
    <row r="5512" spans="8:11" x14ac:dyDescent="0.25">
      <c r="H5512" s="9"/>
      <c r="I5512" s="9"/>
    </row>
    <row r="5513" spans="8:11" x14ac:dyDescent="0.25">
      <c r="H5513" s="9"/>
    </row>
    <row r="5514" spans="8:11" x14ac:dyDescent="0.25">
      <c r="H5514" s="9"/>
    </row>
    <row r="5515" spans="8:11" x14ac:dyDescent="0.25">
      <c r="H5515" s="9"/>
    </row>
    <row r="5516" spans="8:11" x14ac:dyDescent="0.25">
      <c r="H5516" s="9"/>
    </row>
    <row r="5518" spans="8:11" x14ac:dyDescent="0.25">
      <c r="H5518" s="9"/>
      <c r="K5518" s="5"/>
    </row>
    <row r="5519" spans="8:11" x14ac:dyDescent="0.25">
      <c r="H5519" s="9"/>
      <c r="K5519" s="5"/>
    </row>
    <row r="5520" spans="8:11" x14ac:dyDescent="0.25">
      <c r="H5520" s="9"/>
      <c r="K5520" s="5"/>
    </row>
    <row r="5521" spans="6:11" x14ac:dyDescent="0.25">
      <c r="H5521" s="9"/>
      <c r="K5521" s="5"/>
    </row>
    <row r="5522" spans="6:11" x14ac:dyDescent="0.25">
      <c r="K5522" s="5"/>
    </row>
    <row r="5523" spans="6:11" x14ac:dyDescent="0.25">
      <c r="H5523" s="9"/>
      <c r="I5523" s="9"/>
      <c r="K5523" s="5"/>
    </row>
    <row r="5524" spans="6:11" x14ac:dyDescent="0.25">
      <c r="H5524" s="9"/>
      <c r="K5524" s="5"/>
    </row>
    <row r="5526" spans="6:11" x14ac:dyDescent="0.25">
      <c r="H5526" s="9"/>
    </row>
    <row r="5527" spans="6:11" x14ac:dyDescent="0.25">
      <c r="H5527" s="9"/>
      <c r="I5527" s="9"/>
    </row>
    <row r="5528" spans="6:11" x14ac:dyDescent="0.25">
      <c r="H5528" s="9"/>
    </row>
    <row r="5529" spans="6:11" x14ac:dyDescent="0.25">
      <c r="F5529" s="26"/>
      <c r="H5529" s="9"/>
    </row>
    <row r="5530" spans="6:11" x14ac:dyDescent="0.25">
      <c r="F5530" s="27"/>
      <c r="G5530" s="9"/>
      <c r="H5530" s="9"/>
      <c r="I5530" s="9"/>
    </row>
    <row r="5532" spans="6:11" x14ac:dyDescent="0.25">
      <c r="H5532" s="9"/>
    </row>
    <row r="5534" spans="6:11" x14ac:dyDescent="0.25">
      <c r="H5534" s="9"/>
    </row>
    <row r="5535" spans="6:11" x14ac:dyDescent="0.25">
      <c r="H5535" s="9"/>
      <c r="I5535" s="9"/>
    </row>
    <row r="5537" spans="8:11" x14ac:dyDescent="0.25">
      <c r="H5537" s="9"/>
    </row>
    <row r="5538" spans="8:11" x14ac:dyDescent="0.25">
      <c r="H5538" s="9"/>
      <c r="I5538" s="9"/>
    </row>
    <row r="5539" spans="8:11" x14ac:dyDescent="0.25">
      <c r="H5539" s="9"/>
    </row>
    <row r="5540" spans="8:11" x14ac:dyDescent="0.25">
      <c r="H5540" s="9"/>
    </row>
    <row r="5542" spans="8:11" x14ac:dyDescent="0.25">
      <c r="H5542" s="9"/>
      <c r="I5542" s="9"/>
    </row>
    <row r="5543" spans="8:11" x14ac:dyDescent="0.25">
      <c r="H5543" s="9"/>
    </row>
    <row r="5544" spans="8:11" x14ac:dyDescent="0.25">
      <c r="H5544" s="9"/>
      <c r="I5544" s="9"/>
    </row>
    <row r="5545" spans="8:11" x14ac:dyDescent="0.25">
      <c r="H5545" s="9"/>
      <c r="I5545" s="9"/>
    </row>
    <row r="5546" spans="8:11" x14ac:dyDescent="0.25">
      <c r="K5546" s="8"/>
    </row>
    <row r="5547" spans="8:11" x14ac:dyDescent="0.25">
      <c r="H5547" s="9"/>
      <c r="I5547" s="9"/>
    </row>
    <row r="5548" spans="8:11" x14ac:dyDescent="0.25">
      <c r="H5548" s="9"/>
      <c r="I5548" s="9"/>
    </row>
    <row r="5549" spans="8:11" x14ac:dyDescent="0.25">
      <c r="H5549" s="9"/>
      <c r="I5549" s="9"/>
      <c r="K5549" s="19"/>
    </row>
    <row r="5550" spans="8:11" x14ac:dyDescent="0.25">
      <c r="H5550" s="9"/>
      <c r="I5550" s="9"/>
    </row>
    <row r="5552" spans="8:11" x14ac:dyDescent="0.25">
      <c r="H5552" s="9"/>
      <c r="K5552" s="19"/>
    </row>
    <row r="5553" spans="6:11" x14ac:dyDescent="0.25">
      <c r="H5553" s="9"/>
      <c r="K5553" s="5"/>
    </row>
    <row r="5555" spans="6:11" x14ac:dyDescent="0.25">
      <c r="H5555" s="9"/>
    </row>
    <row r="5556" spans="6:11" x14ac:dyDescent="0.25">
      <c r="H5556" s="9"/>
    </row>
    <row r="5557" spans="6:11" x14ac:dyDescent="0.25">
      <c r="H5557" s="9"/>
      <c r="I5557" s="9"/>
    </row>
    <row r="5558" spans="6:11" x14ac:dyDescent="0.25">
      <c r="F5558" s="26"/>
      <c r="H5558" s="9"/>
    </row>
    <row r="5559" spans="6:11" x14ac:dyDescent="0.25">
      <c r="F5559" s="27"/>
    </row>
    <row r="5560" spans="6:11" x14ac:dyDescent="0.25">
      <c r="H5560" s="9"/>
    </row>
    <row r="5561" spans="6:11" x14ac:dyDescent="0.25">
      <c r="H5561" s="9"/>
    </row>
    <row r="5562" spans="6:11" x14ac:dyDescent="0.25">
      <c r="H5562" s="9"/>
      <c r="I5562" s="9"/>
    </row>
    <row r="5563" spans="6:11" x14ac:dyDescent="0.25">
      <c r="H5563" s="9"/>
    </row>
    <row r="5565" spans="6:11" x14ac:dyDescent="0.25">
      <c r="H5565" s="9"/>
    </row>
    <row r="5566" spans="6:11" x14ac:dyDescent="0.25">
      <c r="H5566" s="9"/>
    </row>
    <row r="5568" spans="6:11" x14ac:dyDescent="0.25">
      <c r="H5568" s="9"/>
    </row>
    <row r="5570" spans="6:9" x14ac:dyDescent="0.25">
      <c r="H5570" s="9"/>
    </row>
    <row r="5571" spans="6:9" x14ac:dyDescent="0.25">
      <c r="H5571" s="9"/>
    </row>
    <row r="5572" spans="6:9" x14ac:dyDescent="0.25">
      <c r="H5572" s="9"/>
    </row>
    <row r="5573" spans="6:9" x14ac:dyDescent="0.25">
      <c r="H5573" s="9"/>
    </row>
    <row r="5574" spans="6:9" x14ac:dyDescent="0.25">
      <c r="H5574" s="9"/>
    </row>
    <row r="5575" spans="6:9" x14ac:dyDescent="0.25">
      <c r="H5575" s="9"/>
    </row>
    <row r="5577" spans="6:9" x14ac:dyDescent="0.25">
      <c r="H5577" s="9"/>
    </row>
    <row r="5578" spans="6:9" x14ac:dyDescent="0.25">
      <c r="H5578" s="9"/>
    </row>
    <row r="5579" spans="6:9" x14ac:dyDescent="0.25">
      <c r="H5579" s="9"/>
    </row>
    <row r="5580" spans="6:9" x14ac:dyDescent="0.25">
      <c r="F5580" s="26"/>
    </row>
    <row r="5581" spans="6:9" x14ac:dyDescent="0.25">
      <c r="F5581" s="27"/>
      <c r="H5581" s="9"/>
    </row>
    <row r="5582" spans="6:9" x14ac:dyDescent="0.25">
      <c r="H5582" s="9"/>
    </row>
    <row r="5584" spans="6:9" x14ac:dyDescent="0.25">
      <c r="H5584" s="9"/>
      <c r="I5584" s="9"/>
    </row>
    <row r="5585" spans="8:11" x14ac:dyDescent="0.25">
      <c r="H5585" s="9"/>
      <c r="I5585" s="9"/>
      <c r="K5585" s="8"/>
    </row>
    <row r="5588" spans="8:11" x14ac:dyDescent="0.25">
      <c r="H5588" s="9"/>
      <c r="I5588" s="9"/>
    </row>
    <row r="5589" spans="8:11" x14ac:dyDescent="0.25">
      <c r="H5589" s="9"/>
      <c r="I5589" s="9"/>
    </row>
    <row r="5590" spans="8:11" x14ac:dyDescent="0.25">
      <c r="H5590" s="9"/>
    </row>
    <row r="5591" spans="8:11" x14ac:dyDescent="0.25">
      <c r="I5591" s="9"/>
    </row>
    <row r="5592" spans="8:11" x14ac:dyDescent="0.25">
      <c r="H5592" s="9"/>
      <c r="I5592" s="9"/>
    </row>
    <row r="5594" spans="8:11" x14ac:dyDescent="0.25">
      <c r="H5594" s="9"/>
      <c r="I5594" s="9"/>
      <c r="K5594" s="5"/>
    </row>
    <row r="5595" spans="8:11" x14ac:dyDescent="0.25">
      <c r="H5595" s="9"/>
      <c r="I5595" s="9"/>
      <c r="K5595" s="5"/>
    </row>
    <row r="5596" spans="8:11" x14ac:dyDescent="0.25">
      <c r="I5596" s="9"/>
      <c r="K5596" s="5"/>
    </row>
    <row r="5597" spans="8:11" x14ac:dyDescent="0.25">
      <c r="I5597" s="9"/>
    </row>
    <row r="5600" spans="8:11" x14ac:dyDescent="0.25">
      <c r="H5600" s="9"/>
      <c r="I5600" s="9"/>
    </row>
    <row r="5601" spans="6:9" x14ac:dyDescent="0.25">
      <c r="H5601" s="9"/>
      <c r="I5601" s="9"/>
    </row>
    <row r="5602" spans="6:9" x14ac:dyDescent="0.25">
      <c r="F5602" s="26"/>
      <c r="H5602" s="9"/>
      <c r="I5602" s="9"/>
    </row>
    <row r="5603" spans="6:9" x14ac:dyDescent="0.25">
      <c r="F5603" s="27"/>
      <c r="H5603" s="9"/>
    </row>
    <row r="5604" spans="6:9" x14ac:dyDescent="0.25">
      <c r="H5604" s="9"/>
    </row>
    <row r="5605" spans="6:9" x14ac:dyDescent="0.25">
      <c r="I5605" s="9"/>
    </row>
    <row r="5607" spans="6:9" x14ac:dyDescent="0.25">
      <c r="I5607" s="9"/>
    </row>
    <row r="5608" spans="6:9" x14ac:dyDescent="0.25">
      <c r="H5608" s="9"/>
    </row>
    <row r="5609" spans="6:9" x14ac:dyDescent="0.25">
      <c r="I5609" s="9"/>
    </row>
    <row r="5610" spans="6:9" x14ac:dyDescent="0.25">
      <c r="I5610" s="9"/>
    </row>
    <row r="5612" spans="6:9" x14ac:dyDescent="0.25">
      <c r="I5612" s="9"/>
    </row>
    <row r="5613" spans="6:9" x14ac:dyDescent="0.25">
      <c r="H5613" s="9"/>
    </row>
    <row r="5614" spans="6:9" x14ac:dyDescent="0.25">
      <c r="I5614" s="9"/>
    </row>
    <row r="5615" spans="6:9" x14ac:dyDescent="0.25">
      <c r="I5615" s="9"/>
    </row>
    <row r="5616" spans="6:9" x14ac:dyDescent="0.25">
      <c r="H5616" s="9"/>
      <c r="I5616" s="9"/>
    </row>
    <row r="5617" spans="6:9" x14ac:dyDescent="0.25">
      <c r="I5617" s="9"/>
    </row>
    <row r="5619" spans="6:9" x14ac:dyDescent="0.25">
      <c r="I5619" s="9"/>
    </row>
    <row r="5620" spans="6:9" x14ac:dyDescent="0.25">
      <c r="I5620" s="9"/>
    </row>
    <row r="5621" spans="6:9" x14ac:dyDescent="0.25">
      <c r="H5621" s="9"/>
    </row>
    <row r="5622" spans="6:9" x14ac:dyDescent="0.25">
      <c r="H5622" s="9"/>
      <c r="I5622" s="9"/>
    </row>
    <row r="5623" spans="6:9" x14ac:dyDescent="0.25">
      <c r="G5623" s="9"/>
      <c r="H5623" s="9"/>
      <c r="I5623" s="9"/>
    </row>
    <row r="5625" spans="6:9" x14ac:dyDescent="0.25">
      <c r="G5625" s="9"/>
      <c r="H5625" s="9"/>
      <c r="I5625" s="9"/>
    </row>
    <row r="5628" spans="6:9" x14ac:dyDescent="0.25">
      <c r="H5628" s="9"/>
      <c r="I5628" s="9"/>
    </row>
    <row r="5629" spans="6:9" x14ac:dyDescent="0.25">
      <c r="H5629" s="9"/>
      <c r="I5629" s="9"/>
    </row>
    <row r="5630" spans="6:9" x14ac:dyDescent="0.25">
      <c r="F5630" s="26"/>
      <c r="H5630" s="9"/>
      <c r="I5630" s="9"/>
    </row>
    <row r="5631" spans="6:9" x14ac:dyDescent="0.25">
      <c r="F5631" s="27"/>
      <c r="H5631" s="9"/>
    </row>
    <row r="5632" spans="6:9" x14ac:dyDescent="0.25">
      <c r="F5632" s="27"/>
      <c r="H5632" s="9"/>
      <c r="I5632" s="9"/>
    </row>
    <row r="5634" spans="8:11" x14ac:dyDescent="0.25">
      <c r="H5634" s="9"/>
      <c r="I5634" s="9"/>
    </row>
    <row r="5635" spans="8:11" x14ac:dyDescent="0.25">
      <c r="H5635" s="9"/>
      <c r="I5635" s="9"/>
    </row>
    <row r="5637" spans="8:11" x14ac:dyDescent="0.25">
      <c r="H5637" s="9"/>
      <c r="I5637" s="9"/>
    </row>
    <row r="5638" spans="8:11" x14ac:dyDescent="0.25">
      <c r="H5638" s="9"/>
      <c r="I5638" s="9"/>
    </row>
    <row r="5639" spans="8:11" x14ac:dyDescent="0.25">
      <c r="H5639" s="9"/>
      <c r="I5639" s="9"/>
    </row>
    <row r="5643" spans="8:11" x14ac:dyDescent="0.25">
      <c r="H5643" s="9"/>
      <c r="I5643" s="9"/>
    </row>
    <row r="5648" spans="8:11" x14ac:dyDescent="0.25">
      <c r="H5648" s="9"/>
      <c r="I5648" s="9"/>
      <c r="K5648" s="5"/>
    </row>
    <row r="5649" spans="6:11" x14ac:dyDescent="0.25">
      <c r="H5649" s="9"/>
      <c r="K5649" s="5"/>
    </row>
    <row r="5650" spans="6:11" x14ac:dyDescent="0.25">
      <c r="H5650" s="9"/>
      <c r="I5650" s="9"/>
    </row>
    <row r="5651" spans="6:11" x14ac:dyDescent="0.25">
      <c r="H5651" s="9"/>
    </row>
    <row r="5653" spans="6:11" x14ac:dyDescent="0.25">
      <c r="H5653" s="9"/>
      <c r="I5653" s="9"/>
    </row>
    <row r="5654" spans="6:11" x14ac:dyDescent="0.25">
      <c r="H5654" s="9"/>
      <c r="I5654" s="9"/>
    </row>
    <row r="5655" spans="6:11" x14ac:dyDescent="0.25">
      <c r="H5655" s="9"/>
    </row>
    <row r="5656" spans="6:11" x14ac:dyDescent="0.25">
      <c r="F5656" s="26"/>
      <c r="H5656" s="9"/>
      <c r="I5656" s="9"/>
    </row>
    <row r="5657" spans="6:11" x14ac:dyDescent="0.25">
      <c r="F5657" s="27"/>
      <c r="H5657" s="9"/>
    </row>
    <row r="5658" spans="6:11" x14ac:dyDescent="0.25">
      <c r="G5658" s="9"/>
      <c r="H5658" s="9"/>
      <c r="I5658" s="9"/>
    </row>
    <row r="5660" spans="6:11" x14ac:dyDescent="0.25">
      <c r="H5660" s="9"/>
    </row>
    <row r="5661" spans="6:11" x14ac:dyDescent="0.25">
      <c r="H5661" s="9"/>
    </row>
    <row r="5662" spans="6:11" x14ac:dyDescent="0.25">
      <c r="I5662" s="9"/>
    </row>
    <row r="5665" spans="8:11" x14ac:dyDescent="0.25">
      <c r="I5665" s="9"/>
    </row>
    <row r="5667" spans="8:11" x14ac:dyDescent="0.25">
      <c r="I5667" s="9"/>
    </row>
    <row r="5668" spans="8:11" x14ac:dyDescent="0.25">
      <c r="H5668" s="9"/>
      <c r="I5668" s="9"/>
    </row>
    <row r="5670" spans="8:11" x14ac:dyDescent="0.25">
      <c r="H5670" s="9"/>
      <c r="I5670" s="9"/>
    </row>
    <row r="5671" spans="8:11" x14ac:dyDescent="0.25">
      <c r="H5671" s="9"/>
    </row>
    <row r="5672" spans="8:11" x14ac:dyDescent="0.25">
      <c r="H5672" s="9"/>
      <c r="I5672" s="9"/>
    </row>
    <row r="5674" spans="8:11" x14ac:dyDescent="0.25">
      <c r="H5674" s="9"/>
      <c r="K5674" s="5"/>
    </row>
    <row r="5675" spans="8:11" x14ac:dyDescent="0.25">
      <c r="H5675" s="9"/>
      <c r="I5675" s="9"/>
      <c r="K5675" s="5"/>
    </row>
    <row r="5676" spans="8:11" x14ac:dyDescent="0.25">
      <c r="H5676" s="9"/>
      <c r="I5676" s="9"/>
      <c r="K5676" s="5"/>
    </row>
    <row r="5677" spans="8:11" x14ac:dyDescent="0.25">
      <c r="H5677" s="9"/>
      <c r="I5677" s="9"/>
      <c r="K5677" s="5"/>
    </row>
    <row r="5678" spans="8:11" x14ac:dyDescent="0.25">
      <c r="K5678" s="5"/>
    </row>
    <row r="5679" spans="8:11" x14ac:dyDescent="0.25">
      <c r="H5679" s="9"/>
    </row>
    <row r="5680" spans="8:11" x14ac:dyDescent="0.25">
      <c r="H5680" s="9"/>
      <c r="I5680" s="9"/>
    </row>
    <row r="5682" spans="6:9" x14ac:dyDescent="0.25">
      <c r="H5682" s="9"/>
      <c r="I5682" s="9"/>
    </row>
    <row r="5683" spans="6:9" x14ac:dyDescent="0.25">
      <c r="F5683" s="26"/>
      <c r="H5683" s="9"/>
      <c r="I5683" s="9"/>
    </row>
    <row r="5684" spans="6:9" x14ac:dyDescent="0.25">
      <c r="F5684" s="27"/>
      <c r="H5684" s="9"/>
    </row>
    <row r="5685" spans="6:9" x14ac:dyDescent="0.25">
      <c r="H5685" s="9"/>
      <c r="I5685" s="9"/>
    </row>
    <row r="5687" spans="6:9" x14ac:dyDescent="0.25">
      <c r="H5687" s="9"/>
    </row>
    <row r="5688" spans="6:9" x14ac:dyDescent="0.25">
      <c r="H5688" s="9"/>
      <c r="I5688" s="9"/>
    </row>
    <row r="5690" spans="6:9" x14ac:dyDescent="0.25">
      <c r="H5690" s="9"/>
      <c r="I5690" s="9"/>
    </row>
    <row r="5691" spans="6:9" x14ac:dyDescent="0.25">
      <c r="H5691" s="9"/>
      <c r="I5691" s="9"/>
    </row>
    <row r="5693" spans="6:9" x14ac:dyDescent="0.25">
      <c r="H5693" s="9"/>
    </row>
    <row r="5694" spans="6:9" x14ac:dyDescent="0.25">
      <c r="H5694" s="9"/>
      <c r="I5694" s="9"/>
    </row>
    <row r="5696" spans="6:9" x14ac:dyDescent="0.25">
      <c r="H5696" s="9"/>
      <c r="I5696" s="9"/>
    </row>
    <row r="5697" spans="6:11" x14ac:dyDescent="0.25">
      <c r="H5697" s="9"/>
    </row>
    <row r="5698" spans="6:11" x14ac:dyDescent="0.25">
      <c r="H5698" s="9"/>
      <c r="I5698" s="9"/>
    </row>
    <row r="5699" spans="6:11" x14ac:dyDescent="0.25">
      <c r="H5699" s="9"/>
    </row>
    <row r="5700" spans="6:11" x14ac:dyDescent="0.25">
      <c r="H5700" s="9"/>
      <c r="K5700" s="5"/>
    </row>
    <row r="5701" spans="6:11" x14ac:dyDescent="0.25">
      <c r="H5701" s="9"/>
      <c r="I5701" s="9"/>
    </row>
    <row r="5702" spans="6:11" x14ac:dyDescent="0.25">
      <c r="H5702" s="9"/>
    </row>
    <row r="5703" spans="6:11" x14ac:dyDescent="0.25">
      <c r="H5703" s="9"/>
      <c r="I5703" s="9"/>
    </row>
    <row r="5706" spans="6:11" x14ac:dyDescent="0.25">
      <c r="H5706" s="9"/>
      <c r="I5706" s="9"/>
    </row>
    <row r="5708" spans="6:11" x14ac:dyDescent="0.25">
      <c r="F5708" s="26"/>
      <c r="H5708" s="9"/>
      <c r="I5708" s="9"/>
    </row>
    <row r="5709" spans="6:11" x14ac:dyDescent="0.25">
      <c r="F5709" s="27"/>
      <c r="H5709" s="9"/>
      <c r="I5709" s="9"/>
    </row>
    <row r="5710" spans="6:11" x14ac:dyDescent="0.25">
      <c r="G5710" s="9"/>
      <c r="H5710" s="9"/>
      <c r="I5710" s="9"/>
    </row>
    <row r="5712" spans="6:11" x14ac:dyDescent="0.25">
      <c r="G5712" s="9"/>
      <c r="H5712" s="9"/>
      <c r="I5712" s="9"/>
    </row>
    <row r="5714" spans="6:9" x14ac:dyDescent="0.25">
      <c r="G5714" s="9"/>
      <c r="H5714" s="9"/>
      <c r="I5714" s="9"/>
    </row>
    <row r="5716" spans="6:9" x14ac:dyDescent="0.25">
      <c r="H5716" s="9"/>
      <c r="I5716" s="9"/>
    </row>
    <row r="5717" spans="6:9" x14ac:dyDescent="0.25">
      <c r="H5717" s="9"/>
      <c r="I5717" s="9"/>
    </row>
    <row r="5718" spans="6:9" x14ac:dyDescent="0.25">
      <c r="G5718" s="9"/>
      <c r="H5718" s="9"/>
      <c r="I5718" s="9"/>
    </row>
    <row r="5719" spans="6:9" x14ac:dyDescent="0.25">
      <c r="H5719" s="9"/>
      <c r="I5719" s="9"/>
    </row>
    <row r="5720" spans="6:9" x14ac:dyDescent="0.25">
      <c r="G5720" s="9"/>
      <c r="H5720" s="9"/>
      <c r="I5720" s="9"/>
    </row>
    <row r="5721" spans="6:9" x14ac:dyDescent="0.25">
      <c r="H5721" s="9"/>
      <c r="I5721" s="9"/>
    </row>
    <row r="5722" spans="6:9" x14ac:dyDescent="0.25">
      <c r="H5722" s="9"/>
      <c r="I5722" s="9"/>
    </row>
    <row r="5724" spans="6:9" x14ac:dyDescent="0.25">
      <c r="H5724" s="9"/>
      <c r="I5724" s="9"/>
    </row>
    <row r="5725" spans="6:9" x14ac:dyDescent="0.25">
      <c r="H5725" s="9"/>
      <c r="I5725" s="9"/>
    </row>
    <row r="5726" spans="6:9" x14ac:dyDescent="0.25">
      <c r="H5726" s="9"/>
      <c r="I5726" s="9"/>
    </row>
    <row r="5728" spans="6:9" x14ac:dyDescent="0.25">
      <c r="F5728" s="26"/>
      <c r="H5728" s="9"/>
      <c r="I5728" s="9"/>
    </row>
    <row r="5729" spans="6:9" x14ac:dyDescent="0.25">
      <c r="F5729" s="27"/>
      <c r="H5729" s="9"/>
      <c r="I5729" s="9"/>
    </row>
    <row r="5731" spans="6:9" x14ac:dyDescent="0.25">
      <c r="H5731" s="9"/>
      <c r="I5731" s="9"/>
    </row>
    <row r="5732" spans="6:9" x14ac:dyDescent="0.25">
      <c r="H5732" s="9"/>
      <c r="I5732" s="9"/>
    </row>
    <row r="5734" spans="6:9" x14ac:dyDescent="0.25">
      <c r="H5734" s="9"/>
      <c r="I5734" s="9"/>
    </row>
    <row r="5737" spans="6:9" x14ac:dyDescent="0.25">
      <c r="H5737" s="9"/>
      <c r="I5737" s="9"/>
    </row>
    <row r="5739" spans="6:9" x14ac:dyDescent="0.25">
      <c r="H5739" s="9"/>
    </row>
    <row r="5741" spans="6:9" x14ac:dyDescent="0.25">
      <c r="H5741" s="9"/>
    </row>
    <row r="5742" spans="6:9" x14ac:dyDescent="0.25">
      <c r="H5742" s="9"/>
    </row>
    <row r="5744" spans="6:9" x14ac:dyDescent="0.25">
      <c r="H5744" s="9"/>
    </row>
    <row r="5746" spans="6:11" x14ac:dyDescent="0.25">
      <c r="H5746" s="9"/>
      <c r="I5746" s="9"/>
    </row>
    <row r="5747" spans="6:11" x14ac:dyDescent="0.25">
      <c r="H5747" s="9"/>
    </row>
    <row r="5749" spans="6:11" x14ac:dyDescent="0.25">
      <c r="H5749" s="9"/>
    </row>
    <row r="5751" spans="6:11" x14ac:dyDescent="0.25">
      <c r="H5751" s="9"/>
      <c r="K5751" s="5"/>
    </row>
    <row r="5752" spans="6:11" x14ac:dyDescent="0.25">
      <c r="H5752" s="9"/>
    </row>
    <row r="5757" spans="6:11" x14ac:dyDescent="0.25">
      <c r="F5757" s="26"/>
    </row>
    <row r="5758" spans="6:11" x14ac:dyDescent="0.25">
      <c r="F5758" s="27"/>
    </row>
  </sheetData>
  <phoneticPr fontId="0" type="noConversion"/>
  <hyperlinks>
    <hyperlink ref="K1176" r:id="rId1"/>
  </hyperlinks>
  <pageMargins left="0.75" right="0.75" top="1" bottom="1" header="0.5" footer="0.5"/>
  <pageSetup orientation="landscape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5"/>
  <sheetViews>
    <sheetView workbookViewId="0">
      <selection activeCell="A45" sqref="A45:D45"/>
    </sheetView>
  </sheetViews>
  <sheetFormatPr defaultRowHeight="13.2" x14ac:dyDescent="0.25"/>
  <cols>
    <col min="1" max="1" width="10.33203125" style="3" bestFit="1" customWidth="1"/>
    <col min="2" max="2" width="10.33203125" style="3" customWidth="1"/>
    <col min="3" max="3" width="83" customWidth="1"/>
    <col min="4" max="4" width="9.109375" bestFit="1" customWidth="1"/>
    <col min="5" max="5" width="53.33203125" customWidth="1"/>
  </cols>
  <sheetData>
    <row r="1" spans="1:5" x14ac:dyDescent="0.25">
      <c r="A1" s="3" t="s">
        <v>194</v>
      </c>
      <c r="B1" s="3" t="s">
        <v>5</v>
      </c>
      <c r="C1" t="s">
        <v>2</v>
      </c>
      <c r="D1" t="s">
        <v>366</v>
      </c>
      <c r="E1" t="s">
        <v>1</v>
      </c>
    </row>
    <row r="2" spans="1:5" x14ac:dyDescent="0.25">
      <c r="A2" s="3" t="s">
        <v>204</v>
      </c>
      <c r="C2" t="s">
        <v>205</v>
      </c>
    </row>
    <row r="3" spans="1:5" x14ac:dyDescent="0.25">
      <c r="A3" s="3" t="s">
        <v>435</v>
      </c>
      <c r="C3" t="s">
        <v>436</v>
      </c>
    </row>
    <row r="4" spans="1:5" x14ac:dyDescent="0.25">
      <c r="A4" s="3" t="s">
        <v>119</v>
      </c>
      <c r="C4" t="s">
        <v>446</v>
      </c>
    </row>
    <row r="5" spans="1:5" x14ac:dyDescent="0.25">
      <c r="A5" s="9" t="s">
        <v>452</v>
      </c>
      <c r="C5" s="7" t="s">
        <v>454</v>
      </c>
    </row>
    <row r="6" spans="1:5" x14ac:dyDescent="0.25">
      <c r="A6" s="9" t="s">
        <v>453</v>
      </c>
      <c r="C6" s="7" t="s">
        <v>455</v>
      </c>
    </row>
    <row r="7" spans="1:5" x14ac:dyDescent="0.25">
      <c r="A7" s="9" t="s">
        <v>197</v>
      </c>
      <c r="B7" s="9"/>
      <c r="C7" s="7" t="s">
        <v>195</v>
      </c>
      <c r="D7" s="7"/>
      <c r="E7" s="7" t="s">
        <v>234</v>
      </c>
    </row>
    <row r="8" spans="1:5" x14ac:dyDescent="0.25">
      <c r="A8" s="9" t="s">
        <v>198</v>
      </c>
      <c r="B8" s="9"/>
      <c r="C8" s="7" t="s">
        <v>196</v>
      </c>
      <c r="D8" s="7"/>
    </row>
    <row r="9" spans="1:5" x14ac:dyDescent="0.25">
      <c r="A9" s="9" t="s">
        <v>199</v>
      </c>
      <c r="B9" s="9"/>
      <c r="C9" s="7" t="s">
        <v>202</v>
      </c>
      <c r="D9" s="7"/>
    </row>
    <row r="10" spans="1:5" x14ac:dyDescent="0.25">
      <c r="A10" s="9" t="s">
        <v>239</v>
      </c>
      <c r="B10" s="9"/>
      <c r="C10" s="7" t="s">
        <v>231</v>
      </c>
      <c r="D10" s="7"/>
      <c r="E10" s="7" t="s">
        <v>235</v>
      </c>
    </row>
    <row r="11" spans="1:5" x14ac:dyDescent="0.25">
      <c r="A11" s="9" t="s">
        <v>240</v>
      </c>
      <c r="B11" s="9"/>
      <c r="C11" s="7" t="s">
        <v>232</v>
      </c>
      <c r="D11" s="7"/>
    </row>
    <row r="12" spans="1:5" x14ac:dyDescent="0.25">
      <c r="A12" s="9" t="s">
        <v>241</v>
      </c>
      <c r="B12" s="9"/>
      <c r="C12" s="7" t="s">
        <v>233</v>
      </c>
      <c r="D12" s="7"/>
    </row>
    <row r="13" spans="1:5" x14ac:dyDescent="0.25">
      <c r="A13" s="9" t="s">
        <v>469</v>
      </c>
      <c r="B13" s="9"/>
      <c r="C13" s="7" t="s">
        <v>470</v>
      </c>
      <c r="D13" s="7"/>
    </row>
    <row r="14" spans="1:5" x14ac:dyDescent="0.25">
      <c r="A14" s="9" t="s">
        <v>306</v>
      </c>
      <c r="B14" s="9"/>
      <c r="C14" s="7" t="s">
        <v>307</v>
      </c>
      <c r="D14" s="7"/>
    </row>
    <row r="15" spans="1:5" x14ac:dyDescent="0.25">
      <c r="A15" s="9" t="s">
        <v>313</v>
      </c>
      <c r="B15" s="9"/>
      <c r="C15" s="7" t="s">
        <v>486</v>
      </c>
      <c r="D15" s="7"/>
    </row>
    <row r="16" spans="1:5" x14ac:dyDescent="0.25">
      <c r="A16" s="9" t="s">
        <v>322</v>
      </c>
      <c r="B16" s="9"/>
      <c r="C16" s="7" t="s">
        <v>363</v>
      </c>
      <c r="D16" s="7"/>
    </row>
    <row r="17" spans="1:5" x14ac:dyDescent="0.25">
      <c r="A17" s="9" t="s">
        <v>463</v>
      </c>
      <c r="B17" s="9"/>
      <c r="C17" s="7" t="s">
        <v>464</v>
      </c>
      <c r="D17" s="7"/>
    </row>
    <row r="18" spans="1:5" x14ac:dyDescent="0.25">
      <c r="A18" s="9" t="s">
        <v>471</v>
      </c>
      <c r="B18" s="9"/>
      <c r="C18" s="7" t="s">
        <v>472</v>
      </c>
      <c r="D18" s="7"/>
    </row>
    <row r="19" spans="1:5" x14ac:dyDescent="0.25">
      <c r="A19" s="9" t="s">
        <v>491</v>
      </c>
      <c r="B19" s="9"/>
      <c r="C19" s="7" t="s">
        <v>492</v>
      </c>
      <c r="D19" s="7"/>
    </row>
    <row r="20" spans="1:5" x14ac:dyDescent="0.25">
      <c r="A20" s="9" t="s">
        <v>200</v>
      </c>
      <c r="B20" s="9"/>
      <c r="C20" s="7" t="s">
        <v>201</v>
      </c>
      <c r="D20" s="7"/>
      <c r="E20" s="7" t="s">
        <v>236</v>
      </c>
    </row>
    <row r="21" spans="1:5" x14ac:dyDescent="0.25">
      <c r="A21" s="9" t="s">
        <v>478</v>
      </c>
      <c r="B21" s="9"/>
      <c r="C21" s="7" t="s">
        <v>480</v>
      </c>
      <c r="D21" s="7"/>
      <c r="E21" s="7"/>
    </row>
    <row r="22" spans="1:5" x14ac:dyDescent="0.25">
      <c r="A22" s="9" t="s">
        <v>479</v>
      </c>
      <c r="B22" s="9"/>
      <c r="C22" s="7" t="s">
        <v>481</v>
      </c>
      <c r="D22" s="7"/>
      <c r="E22" s="7"/>
    </row>
    <row r="23" spans="1:5" x14ac:dyDescent="0.25">
      <c r="A23" s="9" t="s">
        <v>489</v>
      </c>
      <c r="B23" s="9"/>
      <c r="C23" s="7" t="s">
        <v>490</v>
      </c>
      <c r="D23" s="7"/>
      <c r="E23" s="7"/>
    </row>
    <row r="24" spans="1:5" x14ac:dyDescent="0.25">
      <c r="A24" s="9" t="s">
        <v>203</v>
      </c>
      <c r="B24" s="9"/>
      <c r="C24" s="7" t="s">
        <v>237</v>
      </c>
      <c r="D24" s="7"/>
      <c r="E24" s="7" t="s">
        <v>238</v>
      </c>
    </row>
    <row r="25" spans="1:5" x14ac:dyDescent="0.25">
      <c r="A25" s="9" t="s">
        <v>418</v>
      </c>
      <c r="B25" s="9"/>
      <c r="C25" s="7" t="s">
        <v>419</v>
      </c>
      <c r="D25" s="7"/>
      <c r="E25" s="7" t="s">
        <v>420</v>
      </c>
    </row>
    <row r="26" spans="1:5" x14ac:dyDescent="0.25">
      <c r="A26" s="9" t="s">
        <v>443</v>
      </c>
      <c r="B26" s="9"/>
      <c r="C26" s="7" t="s">
        <v>444</v>
      </c>
      <c r="D26" s="7"/>
      <c r="E26" s="7" t="s">
        <v>445</v>
      </c>
    </row>
    <row r="27" spans="1:5" x14ac:dyDescent="0.25">
      <c r="A27" s="3" t="s">
        <v>325</v>
      </c>
      <c r="C27" s="7" t="s">
        <v>326</v>
      </c>
      <c r="D27" s="7"/>
    </row>
    <row r="28" spans="1:5" x14ac:dyDescent="0.25">
      <c r="A28" s="3" t="s">
        <v>327</v>
      </c>
      <c r="C28" s="7" t="s">
        <v>328</v>
      </c>
      <c r="D28" s="7"/>
    </row>
    <row r="29" spans="1:5" x14ac:dyDescent="0.25">
      <c r="A29" s="3" t="s">
        <v>329</v>
      </c>
      <c r="C29" s="7" t="s">
        <v>330</v>
      </c>
      <c r="D29" s="7"/>
    </row>
    <row r="30" spans="1:5" x14ac:dyDescent="0.25">
      <c r="A30" s="3" t="s">
        <v>331</v>
      </c>
      <c r="C30" s="7" t="s">
        <v>335</v>
      </c>
      <c r="D30" s="7" t="s">
        <v>367</v>
      </c>
    </row>
    <row r="31" spans="1:5" x14ac:dyDescent="0.25">
      <c r="A31" s="3" t="s">
        <v>332</v>
      </c>
      <c r="C31" s="7" t="s">
        <v>336</v>
      </c>
      <c r="D31" s="7" t="s">
        <v>367</v>
      </c>
    </row>
    <row r="32" spans="1:5" x14ac:dyDescent="0.25">
      <c r="A32" s="3" t="s">
        <v>333</v>
      </c>
      <c r="C32" s="7" t="s">
        <v>340</v>
      </c>
      <c r="D32" s="7" t="s">
        <v>367</v>
      </c>
    </row>
    <row r="33" spans="1:5" x14ac:dyDescent="0.25">
      <c r="A33" s="3" t="s">
        <v>334</v>
      </c>
      <c r="C33" s="7" t="s">
        <v>338</v>
      </c>
      <c r="D33" s="7"/>
    </row>
    <row r="34" spans="1:5" x14ac:dyDescent="0.25">
      <c r="A34" s="3" t="s">
        <v>339</v>
      </c>
      <c r="C34" s="7" t="s">
        <v>337</v>
      </c>
      <c r="D34" s="7" t="s">
        <v>367</v>
      </c>
    </row>
    <row r="35" spans="1:5" x14ac:dyDescent="0.25">
      <c r="A35" s="3" t="s">
        <v>344</v>
      </c>
      <c r="C35" s="7" t="s">
        <v>345</v>
      </c>
      <c r="D35" s="7"/>
    </row>
    <row r="36" spans="1:5" x14ac:dyDescent="0.25">
      <c r="A36" s="3" t="s">
        <v>351</v>
      </c>
      <c r="C36" s="7" t="s">
        <v>354</v>
      </c>
      <c r="D36" s="7" t="s">
        <v>367</v>
      </c>
      <c r="E36" t="s">
        <v>355</v>
      </c>
    </row>
    <row r="37" spans="1:5" x14ac:dyDescent="0.25">
      <c r="A37" s="3" t="s">
        <v>460</v>
      </c>
      <c r="C37" s="7" t="s">
        <v>461</v>
      </c>
      <c r="D37" s="7" t="s">
        <v>367</v>
      </c>
    </row>
    <row r="38" spans="1:5" x14ac:dyDescent="0.25">
      <c r="A38" s="9" t="s">
        <v>474</v>
      </c>
      <c r="C38" s="7" t="s">
        <v>475</v>
      </c>
      <c r="D38" s="7" t="s">
        <v>367</v>
      </c>
    </row>
    <row r="39" spans="1:5" x14ac:dyDescent="0.25">
      <c r="A39" s="9" t="s">
        <v>421</v>
      </c>
      <c r="C39" s="7" t="s">
        <v>422</v>
      </c>
      <c r="D39" s="7" t="s">
        <v>367</v>
      </c>
    </row>
    <row r="40" spans="1:5" x14ac:dyDescent="0.25">
      <c r="A40" s="3" t="s">
        <v>377</v>
      </c>
      <c r="C40" s="7" t="s">
        <v>376</v>
      </c>
    </row>
    <row r="41" spans="1:5" x14ac:dyDescent="0.25">
      <c r="A41" s="3" t="s">
        <v>387</v>
      </c>
      <c r="C41" s="7" t="s">
        <v>388</v>
      </c>
    </row>
    <row r="42" spans="1:5" x14ac:dyDescent="0.25">
      <c r="A42" s="3" t="s">
        <v>378</v>
      </c>
      <c r="C42" s="7" t="s">
        <v>379</v>
      </c>
      <c r="D42" s="7" t="s">
        <v>367</v>
      </c>
    </row>
    <row r="43" spans="1:5" x14ac:dyDescent="0.25">
      <c r="A43" s="3" t="s">
        <v>380</v>
      </c>
      <c r="C43" s="7" t="s">
        <v>381</v>
      </c>
      <c r="D43" s="7" t="s">
        <v>367</v>
      </c>
    </row>
    <row r="44" spans="1:5" x14ac:dyDescent="0.25">
      <c r="A44" s="3" t="s">
        <v>385</v>
      </c>
      <c r="C44" s="7" t="s">
        <v>386</v>
      </c>
      <c r="D44" s="7" t="s">
        <v>367</v>
      </c>
    </row>
    <row r="45" spans="1:5" x14ac:dyDescent="0.25">
      <c r="A45" s="9"/>
      <c r="C45" s="7"/>
      <c r="D45" s="7"/>
    </row>
  </sheetData>
  <pageMargins left="0.7" right="0.7" top="0.75" bottom="0.75" header="0.3" footer="0.3"/>
  <pageSetup orientation="portrait" horizontalDpi="0" verticalDpi="0" r:id="rId1"/>
  <ignoredErrors>
    <ignoredError sqref="A24 A7:A9 A20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"/>
  <sheetViews>
    <sheetView workbookViewId="0"/>
  </sheetViews>
  <sheetFormatPr defaultRowHeight="13.2" x14ac:dyDescent="0.25"/>
  <cols>
    <col min="1" max="1" width="13.21875" style="3" bestFit="1" customWidth="1"/>
    <col min="2" max="2" width="10.33203125" style="3" bestFit="1" customWidth="1"/>
    <col min="3" max="3" width="10.109375" style="30" customWidth="1"/>
    <col min="4" max="4" width="10.109375" style="30" bestFit="1" customWidth="1"/>
    <col min="5" max="5" width="11.44140625" style="25" bestFit="1" customWidth="1"/>
    <col min="6" max="6" width="9.88671875" style="33" bestFit="1" customWidth="1"/>
    <col min="7" max="7" width="11.44140625" style="33" bestFit="1" customWidth="1"/>
    <col min="8" max="8" width="10.109375" style="30" bestFit="1" customWidth="1"/>
    <col min="9" max="9" width="19.5546875" style="30" bestFit="1" customWidth="1"/>
    <col min="10" max="10" width="19.5546875" style="37" customWidth="1"/>
    <col min="11" max="11" width="20.21875" style="30" bestFit="1" customWidth="1"/>
    <col min="12" max="12" width="14.5546875" customWidth="1"/>
    <col min="14" max="14" width="12.5546875" customWidth="1"/>
  </cols>
  <sheetData>
    <row r="1" spans="1:15" x14ac:dyDescent="0.25">
      <c r="A1" s="9" t="s">
        <v>398</v>
      </c>
      <c r="B1" s="3" t="s">
        <v>194</v>
      </c>
      <c r="C1" s="30" t="s">
        <v>389</v>
      </c>
      <c r="D1" s="30" t="s">
        <v>390</v>
      </c>
      <c r="E1" s="25" t="s">
        <v>391</v>
      </c>
      <c r="F1" s="33" t="s">
        <v>392</v>
      </c>
      <c r="G1" s="33" t="s">
        <v>393</v>
      </c>
      <c r="H1" s="30" t="s">
        <v>394</v>
      </c>
      <c r="I1" s="30" t="s">
        <v>395</v>
      </c>
      <c r="J1" s="40" t="s">
        <v>397</v>
      </c>
      <c r="K1" s="30" t="s">
        <v>396</v>
      </c>
      <c r="L1" s="39" t="s">
        <v>415</v>
      </c>
      <c r="N1" s="33"/>
      <c r="O1" s="7"/>
    </row>
    <row r="2" spans="1:15" x14ac:dyDescent="0.25">
      <c r="A2" s="3">
        <v>1200.0001</v>
      </c>
      <c r="B2" s="3">
        <v>1200</v>
      </c>
      <c r="C2" s="30">
        <v>41854</v>
      </c>
      <c r="D2" s="30">
        <v>41872</v>
      </c>
      <c r="E2" s="25">
        <v>0.375</v>
      </c>
      <c r="F2" s="33">
        <v>16.666667</v>
      </c>
      <c r="G2" s="33">
        <f>F2*E2*24</f>
        <v>150.00000299999999</v>
      </c>
      <c r="H2" s="30">
        <v>41876</v>
      </c>
      <c r="I2" s="30">
        <v>41876</v>
      </c>
      <c r="J2" s="37">
        <v>150</v>
      </c>
      <c r="K2" s="30">
        <v>41877</v>
      </c>
      <c r="L2" t="s">
        <v>493</v>
      </c>
    </row>
    <row r="3" spans="1:15" x14ac:dyDescent="0.25">
      <c r="A3" s="3">
        <v>1100.0001</v>
      </c>
      <c r="B3" s="9" t="s">
        <v>423</v>
      </c>
      <c r="C3" s="30">
        <v>41845</v>
      </c>
      <c r="D3" s="30">
        <v>41871</v>
      </c>
      <c r="E3" s="25">
        <v>1.1347222222222222</v>
      </c>
      <c r="F3" s="33">
        <v>50</v>
      </c>
      <c r="G3" s="33">
        <v>1361.67</v>
      </c>
      <c r="H3" s="30">
        <v>41876</v>
      </c>
      <c r="I3" s="30">
        <v>41883</v>
      </c>
      <c r="J3" s="37">
        <v>1361.67</v>
      </c>
      <c r="K3" s="30">
        <v>41884</v>
      </c>
      <c r="L3" s="7" t="s">
        <v>424</v>
      </c>
    </row>
    <row r="4" spans="1:15" x14ac:dyDescent="0.25">
      <c r="A4" s="3">
        <v>1100.0001999999999</v>
      </c>
      <c r="B4" s="9" t="s">
        <v>423</v>
      </c>
      <c r="C4" s="30">
        <v>41911</v>
      </c>
      <c r="D4" s="30">
        <v>41956</v>
      </c>
      <c r="E4" s="25">
        <v>0.84236111111111101</v>
      </c>
      <c r="F4" s="33">
        <v>50</v>
      </c>
      <c r="G4" s="50">
        <v>1335.8333333333333</v>
      </c>
      <c r="H4" s="30">
        <v>41957</v>
      </c>
      <c r="I4" s="30">
        <v>41965</v>
      </c>
      <c r="J4" s="37">
        <v>1335.83</v>
      </c>
      <c r="K4" s="30">
        <v>41967</v>
      </c>
      <c r="L4" s="7" t="s">
        <v>476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A4" sqref="A4"/>
    </sheetView>
  </sheetViews>
  <sheetFormatPr defaultRowHeight="13.2" x14ac:dyDescent="0.25"/>
  <cols>
    <col min="1" max="1" width="19.5546875" bestFit="1" customWidth="1"/>
    <col min="2" max="2" width="12.21875" style="30" bestFit="1" customWidth="1"/>
    <col min="3" max="3" width="17.21875" style="33" bestFit="1" customWidth="1"/>
  </cols>
  <sheetData>
    <row r="1" spans="1:3" x14ac:dyDescent="0.25">
      <c r="A1" t="s">
        <v>496</v>
      </c>
      <c r="B1" s="30" t="s">
        <v>497</v>
      </c>
      <c r="C1" s="33" t="s">
        <v>498</v>
      </c>
    </row>
    <row r="2" spans="1:3" x14ac:dyDescent="0.25">
      <c r="A2">
        <v>1200</v>
      </c>
      <c r="B2" s="30">
        <v>41640</v>
      </c>
      <c r="C2" s="33">
        <v>16.670000000000002</v>
      </c>
    </row>
    <row r="3" spans="1:3" x14ac:dyDescent="0.25">
      <c r="A3">
        <v>1100</v>
      </c>
      <c r="B3" s="30">
        <v>41640</v>
      </c>
      <c r="C3" s="33">
        <v>50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workbookViewId="0">
      <selection activeCell="A9" sqref="A9"/>
    </sheetView>
  </sheetViews>
  <sheetFormatPr defaultRowHeight="13.2" x14ac:dyDescent="0.25"/>
  <cols>
    <col min="1" max="1" width="10.109375" style="30" bestFit="1" customWidth="1"/>
    <col min="2" max="2" width="8.88671875" style="3"/>
    <col min="3" max="3" width="11.5546875" style="36" customWidth="1"/>
    <col min="4" max="4" width="11.44140625" style="36" customWidth="1"/>
    <col min="5" max="5" width="11" style="36" customWidth="1"/>
    <col min="6" max="6" width="11" customWidth="1"/>
    <col min="7" max="7" width="31.33203125" customWidth="1"/>
  </cols>
  <sheetData>
    <row r="1" spans="1:11" x14ac:dyDescent="0.25">
      <c r="A1" s="31" t="s">
        <v>401</v>
      </c>
      <c r="B1" s="9" t="s">
        <v>402</v>
      </c>
      <c r="C1" s="35" t="s">
        <v>403</v>
      </c>
      <c r="D1" s="35" t="s">
        <v>404</v>
      </c>
      <c r="E1" s="35" t="s">
        <v>405</v>
      </c>
      <c r="F1" s="7" t="s">
        <v>406</v>
      </c>
      <c r="G1" s="35" t="s">
        <v>412</v>
      </c>
      <c r="I1" s="7" t="s">
        <v>407</v>
      </c>
      <c r="J1" s="34">
        <v>0.5</v>
      </c>
      <c r="K1" s="7" t="s">
        <v>408</v>
      </c>
    </row>
    <row r="2" spans="1:11" x14ac:dyDescent="0.25">
      <c r="A2" s="30">
        <v>41863</v>
      </c>
      <c r="B2" s="9" t="s">
        <v>409</v>
      </c>
      <c r="C2" s="36">
        <v>157672</v>
      </c>
      <c r="D2" s="36">
        <v>157716</v>
      </c>
      <c r="E2" s="36">
        <f t="shared" ref="E2:E8" si="0">D2-C2</f>
        <v>44</v>
      </c>
      <c r="F2" s="33">
        <f t="shared" ref="F2:F8" si="1">E2*$J$1</f>
        <v>22</v>
      </c>
      <c r="G2" s="38" t="s">
        <v>413</v>
      </c>
    </row>
    <row r="3" spans="1:11" x14ac:dyDescent="0.25">
      <c r="A3" s="30">
        <v>41869</v>
      </c>
      <c r="B3" s="9" t="s">
        <v>409</v>
      </c>
      <c r="C3" s="36">
        <v>157800</v>
      </c>
      <c r="D3" s="36">
        <v>157844</v>
      </c>
      <c r="E3" s="36">
        <f t="shared" si="0"/>
        <v>44</v>
      </c>
      <c r="F3" s="33">
        <f t="shared" si="1"/>
        <v>22</v>
      </c>
      <c r="G3" s="38" t="s">
        <v>413</v>
      </c>
    </row>
    <row r="4" spans="1:11" x14ac:dyDescent="0.25">
      <c r="A4" s="30">
        <v>41870</v>
      </c>
      <c r="B4" s="9" t="s">
        <v>239</v>
      </c>
      <c r="C4" s="36">
        <v>157862</v>
      </c>
      <c r="D4" s="36">
        <v>157876</v>
      </c>
      <c r="E4" s="36">
        <f t="shared" si="0"/>
        <v>14</v>
      </c>
      <c r="F4" s="33">
        <f t="shared" si="1"/>
        <v>7</v>
      </c>
      <c r="G4" s="7" t="s">
        <v>414</v>
      </c>
    </row>
    <row r="5" spans="1:11" x14ac:dyDescent="0.25">
      <c r="A5" s="30">
        <v>41876</v>
      </c>
      <c r="B5" s="9" t="s">
        <v>409</v>
      </c>
      <c r="C5" s="36">
        <v>158089</v>
      </c>
      <c r="D5" s="36">
        <v>158133</v>
      </c>
      <c r="E5" s="36">
        <f t="shared" si="0"/>
        <v>44</v>
      </c>
      <c r="F5" s="33">
        <f t="shared" si="1"/>
        <v>22</v>
      </c>
      <c r="G5" s="38" t="s">
        <v>413</v>
      </c>
    </row>
    <row r="6" spans="1:11" x14ac:dyDescent="0.25">
      <c r="A6" s="30">
        <v>41876</v>
      </c>
      <c r="B6" s="9" t="s">
        <v>423</v>
      </c>
      <c r="C6" s="36">
        <f>D5</f>
        <v>158133</v>
      </c>
      <c r="D6" s="36">
        <v>158146</v>
      </c>
      <c r="E6" s="36">
        <f t="shared" si="0"/>
        <v>13</v>
      </c>
      <c r="F6" s="33">
        <f t="shared" si="1"/>
        <v>6.5</v>
      </c>
      <c r="G6" s="38" t="s">
        <v>425</v>
      </c>
    </row>
    <row r="7" spans="1:11" x14ac:dyDescent="0.25">
      <c r="A7" s="30">
        <v>41876</v>
      </c>
      <c r="B7" s="9" t="s">
        <v>239</v>
      </c>
      <c r="C7" s="36">
        <f>D6</f>
        <v>158146</v>
      </c>
      <c r="D7" s="36">
        <v>158152</v>
      </c>
      <c r="E7" s="36">
        <f t="shared" si="0"/>
        <v>6</v>
      </c>
      <c r="F7" s="33">
        <f t="shared" si="1"/>
        <v>3</v>
      </c>
      <c r="G7" s="38" t="s">
        <v>426</v>
      </c>
    </row>
    <row r="8" spans="1:11" x14ac:dyDescent="0.25">
      <c r="A8" s="30">
        <v>41960</v>
      </c>
      <c r="B8" s="3" t="s">
        <v>491</v>
      </c>
      <c r="C8" s="36">
        <v>161018</v>
      </c>
      <c r="D8" s="36">
        <v>161179</v>
      </c>
      <c r="E8" s="36">
        <f t="shared" si="0"/>
        <v>161</v>
      </c>
      <c r="F8" s="33">
        <f t="shared" si="1"/>
        <v>80.5</v>
      </c>
      <c r="G8" s="38" t="s">
        <v>494</v>
      </c>
    </row>
    <row r="9" spans="1:11" x14ac:dyDescent="0.25">
      <c r="A9" s="30">
        <v>41962</v>
      </c>
      <c r="B9" s="3" t="s">
        <v>491</v>
      </c>
      <c r="C9" s="36">
        <v>161174</v>
      </c>
      <c r="D9" s="36">
        <v>161335</v>
      </c>
      <c r="E9" s="36">
        <f t="shared" ref="E9" si="2">D9-C9</f>
        <v>161</v>
      </c>
      <c r="F9" s="33">
        <f t="shared" ref="F9" si="3">E9*$J$1</f>
        <v>80.5</v>
      </c>
      <c r="G9" s="38" t="s">
        <v>495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A3" sqref="A3"/>
    </sheetView>
  </sheetViews>
  <sheetFormatPr defaultRowHeight="13.2" x14ac:dyDescent="0.25"/>
  <cols>
    <col min="1" max="1" width="10.33203125" style="22" bestFit="1" customWidth="1"/>
    <col min="2" max="2" width="11" style="30" customWidth="1"/>
    <col min="3" max="3" width="33.33203125" bestFit="1" customWidth="1"/>
    <col min="4" max="7" width="26.88671875" customWidth="1"/>
  </cols>
  <sheetData>
    <row r="1" spans="1:7" x14ac:dyDescent="0.25">
      <c r="A1" s="22" t="s">
        <v>194</v>
      </c>
      <c r="B1" s="30" t="s">
        <v>389</v>
      </c>
      <c r="C1" t="s">
        <v>499</v>
      </c>
      <c r="D1" t="s">
        <v>500</v>
      </c>
      <c r="E1" t="s">
        <v>501</v>
      </c>
      <c r="F1" t="s">
        <v>502</v>
      </c>
      <c r="G1" t="s">
        <v>503</v>
      </c>
    </row>
    <row r="2" spans="1:7" x14ac:dyDescent="0.25">
      <c r="A2" s="22">
        <v>1100</v>
      </c>
      <c r="B2" s="30">
        <v>41640</v>
      </c>
      <c r="C2" s="7" t="s">
        <v>504</v>
      </c>
      <c r="D2" s="7" t="s">
        <v>505</v>
      </c>
      <c r="E2" t="s">
        <v>506</v>
      </c>
      <c r="F2" s="7" t="s">
        <v>507</v>
      </c>
      <c r="G2" s="7" t="s">
        <v>508</v>
      </c>
    </row>
    <row r="3" spans="1:7" x14ac:dyDescent="0.25">
      <c r="A3" s="22">
        <v>1200</v>
      </c>
      <c r="B3" s="30">
        <v>41640</v>
      </c>
      <c r="C3" s="7" t="s">
        <v>510</v>
      </c>
      <c r="D3" s="7" t="s">
        <v>509</v>
      </c>
      <c r="E3" t="s">
        <v>511</v>
      </c>
      <c r="G3" s="7" t="s">
        <v>512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Timesheet</vt:lpstr>
      <vt:lpstr>JobNumberKey</vt:lpstr>
      <vt:lpstr>Invoicing</vt:lpstr>
      <vt:lpstr>Rates</vt:lpstr>
      <vt:lpstr>Mileage</vt:lpstr>
      <vt:lpstr>Companies</vt:lpstr>
    </vt:vector>
  </TitlesOfParts>
  <Company>Civil Engineering of Columbia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Time Record for Paul Schrum</dc:title>
  <dc:creator>pschrum</dc:creator>
  <cp:lastModifiedBy>Paul</cp:lastModifiedBy>
  <cp:lastPrinted>2012-06-05T19:42:09Z</cp:lastPrinted>
  <dcterms:created xsi:type="dcterms:W3CDTF">2006-12-11T20:59:45Z</dcterms:created>
  <dcterms:modified xsi:type="dcterms:W3CDTF">2014-11-30T03:05:00Z</dcterms:modified>
</cp:coreProperties>
</file>