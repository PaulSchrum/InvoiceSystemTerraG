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4" r:id="rId2"/>
    <sheet name="Rates" sheetId="7" r:id="rId3"/>
    <sheet name="Invoicing" sheetId="5" r:id="rId4"/>
    <sheet name="Mileage" sheetId="6" r:id="rId5"/>
  </sheets>
  <definedNames>
    <definedName name="_xlnm._FilterDatabase" localSheetId="0" hidden="1">Timesheet!$A$1:$K$7</definedName>
  </definedNames>
  <calcPr calcId="145621"/>
</workbook>
</file>

<file path=xl/calcChain.xml><?xml version="1.0" encoding="utf-8"?>
<calcChain xmlns="http://schemas.openxmlformats.org/spreadsheetml/2006/main">
  <c r="E1263" i="1" l="1"/>
  <c r="E1264" i="1"/>
  <c r="E1262" i="1"/>
  <c r="E1261" i="1"/>
  <c r="E1260" i="1" l="1"/>
  <c r="B1260" i="1"/>
  <c r="E1259" i="1"/>
  <c r="B1259" i="1"/>
  <c r="E1258" i="1" l="1"/>
  <c r="E1257" i="1" l="1"/>
  <c r="E1256" i="1"/>
  <c r="E9" i="6"/>
  <c r="F9" i="6" s="1"/>
  <c r="E8" i="6"/>
  <c r="F8" i="6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6"/>
  <c r="E7" i="6" s="1"/>
  <c r="F7" i="6" s="1"/>
  <c r="E6" i="6"/>
  <c r="F6" i="6" s="1"/>
  <c r="C6" i="6"/>
  <c r="F5" i="6"/>
  <c r="E5" i="6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6"/>
  <c r="F4" i="6" s="1"/>
  <c r="B1065" i="1"/>
  <c r="E1065" i="1" s="1"/>
  <c r="B1063" i="1"/>
  <c r="E1063" i="1" s="1"/>
  <c r="G2" i="5"/>
  <c r="F3" i="6"/>
  <c r="F2" i="6"/>
  <c r="E2" i="6"/>
  <c r="E3" i="6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<sst xmlns="http://schemas.openxmlformats.org/spreadsheetml/2006/main" count="1976" uniqueCount="501">
  <si>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</si>
  <si>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</si>
  <si>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</si>
  <si>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</si>
  <si>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</si>
  <si>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</si>
  <si>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</si>
  <si>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</si>
  <si>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</si>
  <si>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</si>
  <si>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</si>
  <si>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</si>
  <si>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</si>
  <si>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</si>
  <si>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</si>
  <si>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</si>
  <si>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</si>
  <si>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</si>
  <si>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</si>
  <si>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</si>
  <si>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</si>
  <si>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</si>
  <si>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</si>
  <si>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</si>
  <si>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</si>
  <si>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</si>
  <si>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</si>
  <si>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</si>
  <si>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</si>
  <si>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</si>
  <si>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</si>
  <si>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</si>
  <si>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</si>
  <si>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</si>
  <si>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</si>
  <si>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</si>
  <si>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</si>
  <si>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</si>
  <si>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</si>
  <si>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</si>
  <si>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</si>
  <si>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</si>
  <si>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</si>
  <si>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</si>
  <si>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</si>
  <si>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</si>
  <si>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</si>
  <si>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</si>
  <si>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</si>
  <si>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</si>
  <si>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</si>
  <si>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</si>
  <si>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</si>
  <si>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</si>
  <si>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</si>
  <si>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</si>
  <si>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</si>
  <si>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</si>
  <si>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</si>
  <si>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</si>
  <si>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</si>
  <si>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</si>
  <si>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</si>
  <si>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</si>
  <si>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</si>
  <si>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</si>
  <si>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</si>
  <si>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</si>
  <si>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</si>
  <si>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</si>
  <si>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</si>
  <si>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</si>
  <si>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</si>
  <si>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</si>
  <si>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</si>
  <si>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</si>
  <si>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</si>
  <si>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</si>
  <si>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</si>
  <si>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</si>
  <si>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</si>
  <si>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</si>
  <si>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</si>
  <si>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</si>
  <si>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</si>
  <si>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</si>
  <si>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</si>
  <si>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</si>
  <si>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</si>
  <si>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</si>
  <si>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</si>
  <si>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</si>
  <si>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</si>
  <si>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</si>
  <si>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</si>
  <si>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</si>
  <si>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</si>
  <si>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</si>
  <si>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</si>
  <si>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</si>
  <si>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</si>
  <si>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</si>
  <si>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</si>
  <si>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</si>
  <si>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</si>
  <si>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</si>
  <si>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</si>
  <si>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</si>
  <si>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</si>
  <si>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</si>
  <si>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</si>
  <si>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</si>
  <si>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</si>
  <si>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</si>
  <si>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</si>
  <si>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</si>
  <si>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</si>
  <si>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</si>
  <si>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</si>
  <si>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</si>
  <si>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</si>
  <si>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</si>
  <si>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</si>
  <si>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</si>
  <si>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</si>
  <si>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</si>
  <si>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</si>
  <si>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</si>
  <si>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</si>
  <si>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</si>
  <si>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</si>
  <si>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</si>
  <si>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</si>
  <si>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</si>
  <si>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</si>
  <si>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</si>
  <si>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</si>
  <si>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</si>
  <si>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</si>
  <si>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</si>
  <si>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</si>
  <si>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</si>
  <si>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</si>
  <si>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</si>
  <si>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</si>
  <si>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</si>
  <si>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</si>
  <si>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</si>
  <si>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</si>
  <si>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</si>
  <si>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</si>
  <si>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</si>
  <si>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</si>
  <si>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</si>
  <si>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</si>
  <si>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</si>
  <si>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</si>
  <si>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</si>
  <si>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</si>
  <si>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</si>
  <si>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</si>
  <si>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</si>
  <si>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</si>
  <si>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</si>
  <si>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</si>
  <si>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</si>
  <si>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</si>
  <si>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</si>
  <si>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</si>
  <si>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</si>
  <si>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</si>
  <si>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</si>
  <si>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</si>
  <si>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</si>
  <si>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</si>
  <si>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</si>
  <si>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</si>
  <si>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</si>
  <si>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</si>
  <si>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</si>
  <si>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</si>
  <si>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</si>
  <si>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</si>
  <si>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</si>
  <si>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</si>
  <si>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</si>
  <si>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</si>
  <si>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</si>
  <si>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</si>
  <si>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</si>
  <si>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</si>
  <si>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</si>
  <si>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</si>
  <si>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</si>
  <si>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</si>
  <si>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</si>
  <si>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</si>
  <si>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</si>
  <si>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</si>
  <si>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</si>
  <si>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</si>
  <si>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</si>
  <si>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</si>
  <si>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</si>
  <si>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</si>
  <si>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</si>
  <si>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</si>
  <si>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</si>
  <si>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</si>
  <si>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</si>
  <si>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</si>
  <si>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</si>
  <si>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</si>
  <si>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</si>
  <si>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</si>
  <si>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</si>
  <si>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</si>
  <si>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</si>
  <si>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</si>
  <si>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</si>
  <si>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</si>
  <si>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</si>
  <si>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</si>
  <si>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</si>
  <si>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</si>
  <si>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</si>
  <si>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</si>
  <si>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</si>
  <si>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</si>
  <si>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</si>
  <si>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</si>
  <si>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</si>
  <si>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</si>
  <si>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</si>
  <si>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</si>
  <si>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</si>
  <si>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</si>
  <si>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</si>
  <si>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</si>
  <si>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</si>
  <si>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</si>
  <si>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</si>
  <si>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</si>
  <si>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</si>
  <si>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</si>
  <si>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</si>
  <si>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</si>
  <si>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</si>
  <si>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</si>
  <si>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</si>
  <si>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</si>
  <si>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</si>
  <si>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</si>
  <si>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</si>
  <si>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</si>
  <si>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</si>
  <si>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</si>
  <si>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</si>
  <si>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</si>
  <si>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</si>
  <si>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</si>
  <si>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</si>
  <si>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</si>
  <si>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</si>
  <si>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</si>
  <si>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</si>
  <si>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</si>
  <si>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</si>
  <si>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</si>
  <si>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</si>
  <si>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</si>
  <si>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</si>
  <si>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</si>
  <si>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</si>
  <si>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</si>
  <si>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</si>
  <si>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</si>
  <si>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</si>
  <si>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</si>
  <si>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</si>
  <si>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</si>
  <si>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</si>
  <si>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</si>
  <si>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</si>
  <si>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</si>
  <si>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</si>
  <si>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</si>
  <si>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</si>
  <si>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</si>
  <si>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</si>
  <si>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</si>
  <si>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</si>
  <si>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</si>
  <si>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</si>
  <si>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</si>
  <si>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</si>
  <si>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</si>
  <si>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</si>
  <si>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</si>
  <si>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</si>
  <si>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</si>
  <si>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</si>
  <si>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</si>
  <si>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</si>
  <si>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</si>
  <si>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</si>
  <si>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</si>
  <si>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</si>
  <si>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</si>
  <si>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</si>
  <si>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</si>
  <si>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</si>
  <si>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</si>
  <si>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</si>
  <si>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</si>
  <si>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</si>
  <si>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</si>
  <si>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</si>
  <si>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</si>
  <si>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</si>
  <si>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</si>
  <si>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</si>
  <si>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</si>
  <si>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</si>
  <si>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</si>
  <si>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</si>
  <si>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</si>
  <si>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</si>
  <si>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</si>
  <si>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</si>
  <si>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</si>
  <si>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</si>
  <si>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</si>
  <si>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</si>
  <si>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</si>
  <si>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</si>
  <si>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</si>
  <si>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</si>
  <si>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</si>
  <si>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</si>
  <si>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</si>
  <si>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</si>
  <si>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</si>
  <si>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</si>
  <si>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</si>
  <si>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</si>
  <si>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</si>
  <si>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</si>
  <si>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</si>
  <si>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</si>
  <si>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</si>
  <si>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</si>
  <si>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</si>
  <si>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</si>
  <si>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</si>
  <si>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</si>
  <si>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</si>
  <si>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</si>
  <si>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</si>
  <si>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</si>
  <si>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</si>
  <si>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</si>
  <si>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</si>
  <si>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</si>
  <si>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</si>
  <si>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</si>
  <si>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</si>
  <si>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</si>
  <si>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</si>
  <si>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</si>
  <si>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</si>
  <si>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</si>
  <si>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</si>
  <si>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</si>
  <si>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</si>
  <si>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</si>
  <si>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</si>
  <si>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</si>
  <si>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</si>
  <si>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</si>
  <si>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</si>
  <si>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</si>
  <si>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</si>
  <si>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</si>
  <si>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</si>
  <si>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</si>
  <si>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</si>
  <si>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</si>
  <si>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</si>
  <si>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</si>
  <si>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</si>
  <si>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</si>
  <si>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</si>
  <si>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</si>
  <si>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</si>
  <si>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</si>
  <si>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</si>
  <si>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</si>
  <si>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</si>
  <si>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</si>
  <si>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</si>
  <si>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</si>
  <si>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</si>
  <si>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</si>
  <si>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</si>
  <si>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</si>
  <si>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</si>
  <si>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</si>
  <si>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</si>
  <si>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</si>
  <si>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</si>
  <si>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</si>
  <si>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</si>
  <si>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</si>
  <si>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</si>
  <si>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</si>
  <si>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</si>
  <si>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</si>
  <si>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</si>
  <si>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</si>
  <si>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</si>
  <si>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</si>
  <si>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</si>
  <si>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</si>
  <si>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</si>
  <si>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</si>
  <si>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</si>
  <si>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</si>
  <si>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</si>
  <si>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</si>
  <si>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</si>
  <si>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</si>
  <si>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</si>
  <si>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</si>
  <si>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</si>
  <si>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</si>
  <si>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</si>
  <si>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</si>
  <si>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</si>
  <si>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</si>
  <si>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</si>
  <si>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</si>
  <si>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</si>
  <si>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</si>
  <si>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</si>
  <si>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</si>
  <si>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</si>
  <si>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</si>
  <si>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</si>
  <si>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</si>
  <si>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</si>
  <si>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</si>
  <si>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</si>
  <si>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</si>
  <si>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</si>
  <si>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</si>
  <si>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</si>
  <si>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</si>
  <si>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</si>
  <si>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</si>
  <si>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</si>
  <si>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</si>
  <si>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</si>
  <si>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</si>
  <si>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</si>
  <si>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</si>
  <si>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</si>
  <si>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</si>
  <si>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</si>
  <si>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</si>
  <si>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</si>
  <si>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</si>
  <si>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</si>
  <si>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</si>
  <si>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</si>
  <si>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</si>
  <si>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</si>
  <si>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</si>
  <si>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</si>
  <si>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</si>
  <si>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</si>
  <si>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</si>
  <si>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</si>
  <si>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</si>
  <si>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</si>
  <si>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</si>
  <si>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</si>
  <si>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</si>
  <si>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</si>
  <si>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</si>
  <si>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</si>
  <si>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</si>
  <si>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</si>
  <si>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</si>
  <si>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</si>
  <si>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</si>
  <si>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</si>
  <si>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</si>
  <si>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</si>
  <si>
    <t>1300</t>
  </si>
  <si>
    <t>Dummy Invoicable for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</si>
</sst>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g2014-dev.cloudapp.net/api/V5/Kiosk/Directory/DirectoryListForStation/EC75906F-B96E-4372-93C8-CF92F265279A/B/RaleighEmergencyC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43" activePane="bottomLeft" state="frozenSplit"/>
      <selection pane="bottomLeft" activeCell="C1263" sqref="C1263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1118.8166666666664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0.5673611111111112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0.41736111111111113</v>
      </c>
      <c r="E1258" s="21">
        <f t="shared" ref="E1258:E1260" si="59">IF(D1258&lt;(12/1440),C1258-B1258,C1258-B1258-D1258+(12/1440))</f>
        <v>1.6666666666666663E-2</v>
      </c>
      <c r="G1258" s="9" t="s">
        <v>491</v>
      </c>
      <c r="H1258" s="9"/>
      <c r="I1258" s="7" t="s">
        <v>492</v>
      </c>
    </row>
    <row r="1259" spans="1:9" x14ac:dyDescent="0.25">
      <c r="A1259" s="20">
        <v>41967</v>
      </c>
      <c r="B1259" s="1">
        <f>C1258</f>
        <v>0.41736111111111113</v>
      </c>
      <c r="C1259" s="1">
        <v>0.44236111111111115</v>
      </c>
      <c r="E1259" s="21">
        <f t="shared" si="59"/>
        <v>2.5000000000000022E-2</v>
      </c>
      <c r="G1259" s="9" t="s">
        <v>421</v>
      </c>
      <c r="I1259" s="7" t="s">
        <v>422</v>
      </c>
    </row>
    <row r="1260" spans="1:9" x14ac:dyDescent="0.25">
      <c r="A1260" s="20">
        <v>41967</v>
      </c>
      <c r="B1260" s="1">
        <f>C1259</f>
        <v>0.44236111111111115</v>
      </c>
      <c r="C1260" s="1">
        <v>0.50555555555555554</v>
      </c>
      <c r="E1260" s="21">
        <f t="shared" si="59"/>
        <v>6.3194444444444386E-2</v>
      </c>
      <c r="G1260" s="9" t="s">
        <v>491</v>
      </c>
      <c r="H1260" s="9"/>
      <c r="I1260" s="7" t="s">
        <v>492</v>
      </c>
    </row>
    <row r="1261" spans="1:9" x14ac:dyDescent="0.25">
      <c r="A1261" s="20">
        <v>41967</v>
      </c>
      <c r="B1261" s="1">
        <v>0.53194444444444444</v>
      </c>
      <c r="C1261" s="1">
        <v>0.59305555555555556</v>
      </c>
      <c r="D1261" s="4">
        <v>1.1111111111111112E-2</v>
      </c>
      <c r="E1261" s="21">
        <f t="shared" ref="E1261:E1263" si="60">IF(D1261&lt;(12/1440),C1261-B1261,C1261-B1261-D1261+(12/1440))</f>
        <v>5.8333333333333334E-2</v>
      </c>
      <c r="G1261" s="9" t="s">
        <v>491</v>
      </c>
      <c r="H1261" s="9"/>
      <c r="I1261" s="7" t="s">
        <v>492</v>
      </c>
    </row>
    <row r="1262" spans="1:9" x14ac:dyDescent="0.25">
      <c r="A1262" s="20">
        <v>41967</v>
      </c>
      <c r="B1262" s="1">
        <v>0.60069444444444442</v>
      </c>
      <c r="C1262" s="1">
        <v>0.60625000000000007</v>
      </c>
      <c r="E1262" s="21">
        <f t="shared" si="60"/>
        <v>5.5555555555556468E-3</v>
      </c>
      <c r="G1262" s="9" t="s">
        <v>421</v>
      </c>
      <c r="I1262" s="7" t="s">
        <v>422</v>
      </c>
    </row>
    <row r="1263" spans="1:9" x14ac:dyDescent="0.25">
      <c r="A1263" s="20">
        <v>41967</v>
      </c>
      <c r="B1263" s="1">
        <v>0.65555555555555556</v>
      </c>
      <c r="C1263" s="1">
        <v>0.80694444444444446</v>
      </c>
      <c r="E1263" s="21">
        <f t="shared" ref="E1263" si="61">IF(D1263&lt;(12/1440),C1263-B1263,C1263-B1263-D1263+(12/1440))</f>
        <v>0.15138888888888891</v>
      </c>
      <c r="G1263" s="9" t="s">
        <v>491</v>
      </c>
      <c r="H1263" s="9"/>
      <c r="I1263" s="7" t="s">
        <v>492</v>
      </c>
    </row>
    <row r="1264" spans="1:9" x14ac:dyDescent="0.25">
      <c r="E1264" s="21">
        <f t="shared" ref="E1264" si="62">IF(D1264&lt;(12/1440),C1264-B1264,C1264-B1264-D1264+(12/1440))</f>
        <v>0</v>
      </c>
      <c r="G1264" s="9"/>
      <c r="H1264" s="9"/>
      <c r="I1264" s="7"/>
    </row>
    <row r="1271" spans="6:6" x14ac:dyDescent="0.25">
      <c r="F1271" s="26"/>
    </row>
    <row r="1272" spans="6:6" x14ac:dyDescent="0.25">
      <c r="F1272" s="27"/>
    </row>
    <row r="1274" spans="6:6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phoneticPr fontId="0" type="noConversion"/>
  <hyperlinks>
    <hyperlink ref="K1176" r:id="rId1"/>
  </hyperlinks>
  <pageMargins left="0.75" right="0.75" top="1" bottom="1" header="0.5" footer="0.5"/>
  <pageSetup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topLeftCell="A19" workbookViewId="0">
      <selection activeCell="A46" sqref="A46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  <row r="45" spans="1:5" x14ac:dyDescent="0.25">
      <c r="A45" s="9" t="s">
        <v>499</v>
      </c>
      <c r="C45" s="7" t="s">
        <v>500</v>
      </c>
      <c r="D45" s="7" t="s">
        <v>367</v>
      </c>
    </row>
  </sheetData>
  <pageMargins left="0.7" right="0.7" top="0.75" bottom="0.75" header="0.3" footer="0.3"/>
  <pageSetup orientation="portrait" horizontalDpi="0" verticalDpi="0" r:id="rId1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>
      <selection activeCell="H2" sqref="H2"/>
    </sheetView>
  </sheetViews>
  <sheetFormatPr defaultRowHeight="13.2" x14ac:dyDescent="0.25"/>
  <cols>
    <col min="1" max="1" width="13.21875" bestFit="1" customWidth="1"/>
    <col min="2" max="2" width="10.33203125" style="3" bestFit="1" customWidth="1"/>
    <col min="3" max="3" width="9.109375" style="30" bestFit="1" customWidth="1"/>
    <col min="4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7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K4" s="30">
        <v>41967</v>
      </c>
      <c r="L4" s="7" t="s">
        <v>476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Timesheet</vt:lpstr>
      <vt:lpstr>JobNumberKey</vt:lpstr>
      <vt:lpstr>Rates</vt:lpstr>
      <vt:lpstr>Invoicing</vt:lpstr>
      <vt:lpstr>Mileage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2014-11-25T00:23:30Z</dcterms:modified>
</cp:coreProperties>
</file>