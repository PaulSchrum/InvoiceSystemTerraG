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/>
  </bookViews>
  <sheets>
    <sheet name="Timesheet" sheetId="1" r:id="rId1"/>
    <sheet name="JobNumberKey" sheetId="4" r:id="rId2"/>
    <sheet name="Rates" sheetId="7" r:id="rId3"/>
    <sheet name="Invoicing" sheetId="5" r:id="rId4"/>
    <sheet name="Mileage" sheetId="6" r:id="rId5"/>
  </sheets>
  <definedNames>
    <definedName name="_xlnm._FilterDatabase" localSheetId="0" hidden="1">Timesheet!$A$1:$K$7</definedName>
  </definedNames>
  <calcPr calcId="145621"/>
</workbook>
</file>

<file path=xl/calcChain.xml><?xml version="1.0" encoding="utf-8"?>
<calcChain xmlns="http://schemas.openxmlformats.org/spreadsheetml/2006/main">
  <c r="E1258" i="1" l="1"/>
  <c r="E1257" i="1" l="1"/>
  <c r="E1256" i="1"/>
  <c r="E9" i="6"/>
  <c r="F9" i="6" s="1"/>
  <c r="E8" i="6"/>
  <c r="F8" i="6" s="1"/>
  <c r="E1255" i="1" l="1"/>
  <c r="E1254" i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6"/>
  <c r="E7" i="6" s="1"/>
  <c r="F7" i="6" s="1"/>
  <c r="E6" i="6"/>
  <c r="F6" i="6" s="1"/>
  <c r="C6" i="6"/>
  <c r="F5" i="6"/>
  <c r="E5" i="6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6"/>
  <c r="F4" i="6" s="1"/>
  <c r="B1065" i="1"/>
  <c r="E1065" i="1" s="1"/>
  <c r="B1063" i="1"/>
  <c r="E1063" i="1" s="1"/>
  <c r="G2" i="5"/>
  <c r="F3" i="6"/>
  <c r="F2" i="6"/>
  <c r="E2" i="6"/>
  <c r="E3" i="6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<sst xmlns="http://schemas.openxmlformats.org/spreadsheetml/2006/main" count="1963" uniqueCount="499">
  <si>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</si>
  <si>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</si>
  <si>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</si>
  <si>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</si>
  <si>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</si>
  <si>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</si>
  <si>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</si>
  <si>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</si>
  <si>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</si>
  <si>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</si>
  <si>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</si>
  <si>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</si>
  <si>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</si>
  <si>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</si>
  <si>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</si>
  <si>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</si>
  <si>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</si>
  <si>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</si>
  <si>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</si>
  <si>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</si>
  <si>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</si>
  <si>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</si>
  <si>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</si>
  <si>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</si>
  <si>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</si>
  <si>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</si>
  <si>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</si>
  <si>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</si>
  <si>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</si>
  <si>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</si>
  <si>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</si>
  <si>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</si>
  <si>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</si>
  <si>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</si>
  <si>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</si>
  <si>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</si>
  <si>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</si>
  <si>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</si>
  <si>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</si>
  <si>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</si>
  <si>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</si>
  <si>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</si>
  <si>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</si>
  <si>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</si>
  <si>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</si>
  <si>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</si>
  <si>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</si>
  <si>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</si>
  <si>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</si>
  <si>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</si>
  <si>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</si>
  <si>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</si>
  <si>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</si>
  <si>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</si>
  <si>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</si>
  <si>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</si>
  <si>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</si>
  <si>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</si>
  <si>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</si>
  <si>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</si>
  <si>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</si>
  <si>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</si>
  <si>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</si>
  <si>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</si>
  <si>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</si>
  <si>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</si>
  <si>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</si>
  <si>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</si>
  <si>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</si>
  <si>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</si>
  <si>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</si>
  <si>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</si>
  <si>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</si>
  <si>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</si>
  <si>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</si>
  <si>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</si>
  <si>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</si>
  <si>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</si>
  <si>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</si>
  <si>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</si>
  <si>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</si>
  <si>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</si>
  <si>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</si>
  <si>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</si>
  <si>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</si>
  <si>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</si>
  <si>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</si>
  <si>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</si>
  <si>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</si>
  <si>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</si>
  <si>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</si>
  <si>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</si>
  <si>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</si>
  <si>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</si>
  <si>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</si>
  <si>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</si>
  <si>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</si>
  <si>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</si>
  <si>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</si>
  <si>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</si>
  <si>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</si>
  <si>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</si>
  <si>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</si>
  <si>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</si>
  <si>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</si>
  <si>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</si>
  <si>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</si>
  <si>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</si>
  <si>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</si>
  <si>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</si>
  <si>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</si>
  <si>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</si>
  <si>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</si>
  <si>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</si>
  <si>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</si>
  <si>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</si>
  <si>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</si>
  <si>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</si>
  <si>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</si>
  <si>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</si>
  <si>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</si>
  <si>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</si>
  <si>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</si>
  <si>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</si>
  <si>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</si>
  <si>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</si>
  <si>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</si>
  <si>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</si>
  <si>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</si>
  <si>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</si>
  <si>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</si>
  <si>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</si>
  <si>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</si>
  <si>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</si>
  <si>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</si>
  <si>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</si>
  <si>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</si>
  <si>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</si>
  <si>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</si>
  <si>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</si>
  <si>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</si>
  <si>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</si>
  <si>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</si>
  <si>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</si>
  <si>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</si>
  <si>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</si>
  <si>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</si>
  <si>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</si>
  <si>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</si>
  <si>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</si>
  <si>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</si>
  <si>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</si>
  <si>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</si>
  <si>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</si>
  <si>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</si>
  <si>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</si>
  <si>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</si>
  <si>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</si>
  <si>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</si>
  <si>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</si>
  <si>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</si>
  <si>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</si>
  <si>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</si>
  <si>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</si>
  <si>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</si>
  <si>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</si>
  <si>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</si>
  <si>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</si>
  <si>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</si>
  <si>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</si>
  <si>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</si>
  <si>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</si>
  <si>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</si>
  <si>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</si>
  <si>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</si>
  <si>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</si>
  <si>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</si>
  <si>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</si>
  <si>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</si>
  <si>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</si>
  <si>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</si>
  <si>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</si>
  <si>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</si>
  <si>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</si>
  <si>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</si>
  <si>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</si>
  <si>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</si>
  <si>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</si>
  <si>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</si>
  <si>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</si>
  <si>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</si>
  <si>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</si>
  <si>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</si>
  <si>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</si>
  <si>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</si>
  <si>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</si>
  <si>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</si>
  <si>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</si>
  <si>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</si>
  <si>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</si>
  <si>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</si>
  <si>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</si>
  <si>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</si>
  <si>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</si>
  <si>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</si>
  <si>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</si>
  <si>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</si>
  <si>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</si>
  <si>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</si>
  <si>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</si>
  <si>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</si>
  <si>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</si>
  <si>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</si>
  <si>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</si>
  <si>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</si>
  <si>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</si>
  <si>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</si>
  <si>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</si>
  <si>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</si>
  <si>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</si>
  <si>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</si>
  <si>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</si>
  <si>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</si>
  <si>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</si>
  <si>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</si>
  <si>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</si>
  <si>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</si>
  <si>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</si>
  <si>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</si>
  <si>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</si>
  <si>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</si>
  <si>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</si>
  <si>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</si>
  <si>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</si>
  <si>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</si>
  <si>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</si>
  <si>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</si>
  <si>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</si>
  <si>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</si>
  <si>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</si>
  <si>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</si>
  <si>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</si>
  <si>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</si>
  <si>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</si>
  <si>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</si>
  <si>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</si>
  <si>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</si>
  <si>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</si>
  <si>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</si>
  <si>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</si>
  <si>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</si>
  <si>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</si>
  <si>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</si>
  <si>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</si>
  <si>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</si>
  <si>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</si>
  <si>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</si>
  <si>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</si>
  <si>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</si>
  <si>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</si>
  <si>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</si>
  <si>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</si>
  <si>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</si>
  <si>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</si>
  <si>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</si>
  <si>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</si>
  <si>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</si>
  <si>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</si>
  <si>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</si>
  <si>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</si>
  <si>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</si>
  <si>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</si>
  <si>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</si>
  <si>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</si>
  <si>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</si>
  <si>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</si>
  <si>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</si>
  <si>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</si>
  <si>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</si>
  <si>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</si>
  <si>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</si>
  <si>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</si>
  <si>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</si>
  <si>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</si>
  <si>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</si>
  <si>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</si>
  <si>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</si>
  <si>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</si>
  <si>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</si>
  <si>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</si>
  <si>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</si>
  <si>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</si>
  <si>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</si>
  <si>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</si>
  <si>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</si>
  <si>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</si>
  <si>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</si>
  <si>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</si>
  <si>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</si>
  <si>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</si>
  <si>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</si>
  <si>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</si>
  <si>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</si>
  <si>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</si>
  <si>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</si>
  <si>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</si>
  <si>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</si>
  <si>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</si>
  <si>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</si>
  <si>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</si>
  <si>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</si>
  <si>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</si>
  <si>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</si>
  <si>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</si>
  <si>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</si>
  <si>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</si>
  <si>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</si>
  <si>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</si>
  <si>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</si>
  <si>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</si>
  <si>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</si>
  <si>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</si>
  <si>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</si>
  <si>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</si>
  <si>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</si>
  <si>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</si>
  <si>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</si>
  <si>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</si>
  <si>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</si>
  <si>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</si>
  <si>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</si>
  <si>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</si>
  <si>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</si>
  <si>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</si>
  <si>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</si>
  <si>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</si>
  <si>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</si>
  <si>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</si>
  <si>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</si>
  <si>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</si>
  <si>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</si>
  <si>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</si>
  <si>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</si>
  <si>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</si>
  <si>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</si>
  <si>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</si>
  <si>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</si>
  <si>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</si>
  <si>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</si>
  <si>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</si>
  <si>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</si>
  <si>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</si>
  <si>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</si>
  <si>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</si>
  <si>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</si>
  <si>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</si>
  <si>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</si>
  <si>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</si>
  <si>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</si>
  <si>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</si>
  <si>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</si>
  <si>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</si>
  <si>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</si>
  <si>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</si>
  <si>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</si>
  <si>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</si>
  <si>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</si>
  <si>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</si>
  <si>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</si>
  <si>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</si>
  <si>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</si>
  <si>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</si>
  <si>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</si>
  <si>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</si>
  <si>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</si>
  <si>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</si>
  <si>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</si>
  <si>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</si>
  <si>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</si>
  <si>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</si>
  <si>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</si>
  <si>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</si>
  <si>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</si>
  <si>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</si>
  <si>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</si>
  <si>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</si>
  <si>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</si>
  <si>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</si>
  <si>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</si>
  <si>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</si>
  <si>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</si>
  <si>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</si>
  <si>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</si>
  <si>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</si>
  <si>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</si>
  <si>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</si>
  <si>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</si>
  <si>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</si>
  <si>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</si>
  <si>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</si>
  <si>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</si>
  <si>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</si>
  <si>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</si>
  <si>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</si>
  <si>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</si>
  <si>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</si>
  <si>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</si>
  <si>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</si>
  <si>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</si>
  <si>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</si>
  <si>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</si>
  <si>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</si>
  <si>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</si>
  <si>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</si>
  <si>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</si>
  <si>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</si>
  <si>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</si>
  <si>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</si>
  <si>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</si>
  <si>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</si>
  <si>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</si>
  <si>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</si>
  <si>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</si>
  <si>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</si>
  <si>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</si>
  <si>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</si>
  <si>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</si>
  <si>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</si>
  <si>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</si>
  <si>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</si>
  <si>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</si>
  <si>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</si>
  <si>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</si>
  <si>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</si>
  <si>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</si>
  <si>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</si>
  <si>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</si>
  <si>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</si>
  <si>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</si>
  <si>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</si>
  <si>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</si>
  <si>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</si>
  <si>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</si>
  <si>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</si>
  <si>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</si>
  <si>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</si>
  <si>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</si>
  <si>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</si>
  <si>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</si>
  <si>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</si>
  <si>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</si>
  <si>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</si>
  <si>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</si>
  <si>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</si>
  <si>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</si>
  <si>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</si>
  <si>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</si>
  <si>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</si>
  <si>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</si>
  <si>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</si>
  <si>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</si>
  <si>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</si>
  <si>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</si>
  <si>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</si>
  <si>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</si>
  <si>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</si>
  <si>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</si>
  <si>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</si>
  <si>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</si>
  <si>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</si>
  <si>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</si>
  <si>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</si>
  <si>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</si>
  <si>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</si>
  <si>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</si>
  <si>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</si>
  <si>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</si>
  <si>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</si>
  <si>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</si>
  <si>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</si>
  <si>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</si>
  <si>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</si>
  <si>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</si>
  <si>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</si>
  <si>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</si>
  <si>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</si>
  <si>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</si>
  <si>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</si>
  <si>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</si>
  <si>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</si>
  <si>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</si>
  <si>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</si>
  <si>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</si>
  <si>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</si>
  <si>
    <t>To Charlotte for Stream Restoration Conference</t>
  </si>
  <si>
    <t>From Charlotte for Stream Restoration Conference</t>
  </si>
  <si>
    <t>JobNumberIntegerPart</t>
  </si>
  <si>
    <t>RateStartDate</t>
  </si>
  <si>
    <t>RateDollarsPerHour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</si>
</sst>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&quot;TimePaid&quot;;&quot;TimeOwed&quot;"/>
    <numFmt numFmtId="167" formatCode="h:mm;&quot;&quot;;&quot;&quot;"/>
    <numFmt numFmtId="168" formatCode="[h]:mm"/>
    <numFmt numFmtId="169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4" fillId="0" borderId="0" xfId="0" applyNumberFormat="1" applyFont="1"/>
    <xf numFmtId="166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7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6" fontId="4" fillId="0" borderId="0" xfId="0" applyNumberFormat="1" applyFont="1" applyAlignment="1">
      <alignment wrapText="1"/>
    </xf>
    <xf numFmtId="168" fontId="0" fillId="0" borderId="0" xfId="0" applyNumberFormat="1"/>
    <xf numFmtId="168" fontId="3" fillId="0" borderId="0" xfId="0" applyNumberFormat="1" applyFont="1"/>
    <xf numFmtId="168" fontId="1" fillId="0" borderId="0" xfId="0" applyNumberFormat="1" applyFont="1"/>
    <xf numFmtId="168" fontId="2" fillId="0" borderId="0" xfId="0" applyNumberFormat="1" applyFont="1"/>
    <xf numFmtId="168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69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8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6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g2014-dev.cloudapp.net/api/V5/Kiosk/Directory/DirectoryListForStation/EC75906F-B96E-4372-93C8-CF92F265279A/B/RaleighEmergencyC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tabSelected="1" zoomScaleNormal="100" workbookViewId="0">
      <pane ySplit="2" topLeftCell="A1235" activePane="bottomLeft" state="frozenSplit"/>
      <selection pane="bottomLeft" activeCell="C1258" sqref="C1258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1111.5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0.26250000000000001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0.87152777777777779</v>
      </c>
      <c r="D1254" s="4">
        <v>4.8611111111111112E-3</v>
      </c>
      <c r="E1254" s="21">
        <f t="shared" ref="E1254" si="57">IF(D1254&lt;(12/1440),C1254-B1254,C1254-B1254-D1254+(12/1440))</f>
        <v>9.0972222222222232E-2</v>
      </c>
      <c r="G1254" s="9" t="s">
        <v>491</v>
      </c>
      <c r="H1254" s="9"/>
      <c r="I1254" s="7" t="s">
        <v>492</v>
      </c>
    </row>
    <row r="1255" spans="1:9" x14ac:dyDescent="0.25">
      <c r="A1255" s="20">
        <v>41966</v>
      </c>
      <c r="B1255" s="1">
        <v>0.91666666666666663</v>
      </c>
      <c r="C1255" s="1">
        <v>0.9590277777777777</v>
      </c>
      <c r="E1255" s="21">
        <f t="shared" ref="E1255:E1257" si="58">IF(D1255&lt;(12/1440),C1255-B1255,C1255-B1255-D1255+(12/1440))</f>
        <v>4.2361111111111072E-2</v>
      </c>
      <c r="G1255" s="9" t="s">
        <v>491</v>
      </c>
      <c r="H1255" s="9"/>
      <c r="I1255" s="7" t="s">
        <v>492</v>
      </c>
    </row>
    <row r="1256" spans="1:9" x14ac:dyDescent="0.25">
      <c r="E1256" s="21">
        <f t="shared" si="58"/>
        <v>0</v>
      </c>
      <c r="F1256" s="27"/>
    </row>
    <row r="1257" spans="1:9" x14ac:dyDescent="0.25">
      <c r="A1257" s="20">
        <v>41967</v>
      </c>
      <c r="B1257" s="1">
        <v>0</v>
      </c>
      <c r="C1257" s="1">
        <v>7.6388888888888886E-3</v>
      </c>
      <c r="E1257" s="21">
        <f t="shared" si="58"/>
        <v>7.6388888888888886E-3</v>
      </c>
      <c r="G1257" s="9" t="s">
        <v>491</v>
      </c>
      <c r="H1257" s="9"/>
      <c r="I1257" s="7" t="s">
        <v>492</v>
      </c>
    </row>
    <row r="1258" spans="1:9" x14ac:dyDescent="0.25">
      <c r="A1258" s="20">
        <v>41967</v>
      </c>
      <c r="B1258" s="1">
        <v>0.40069444444444446</v>
      </c>
      <c r="C1258" s="1">
        <v>0.41597222222222219</v>
      </c>
      <c r="E1258" s="21">
        <f t="shared" ref="E1258" si="59">IF(D1258&lt;(12/1440),C1258-B1258,C1258-B1258-D1258+(12/1440))</f>
        <v>1.5277777777777724E-2</v>
      </c>
      <c r="G1258" s="9" t="s">
        <v>491</v>
      </c>
      <c r="H1258" s="9"/>
      <c r="I1258" s="7" t="s">
        <v>492</v>
      </c>
    </row>
    <row r="1271" spans="6:6" x14ac:dyDescent="0.25">
      <c r="F1271" s="26"/>
    </row>
    <row r="1272" spans="6:6" x14ac:dyDescent="0.25">
      <c r="F1272" s="27"/>
    </row>
    <row r="1274" spans="6:6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phoneticPr fontId="0" type="noConversion"/>
  <hyperlinks>
    <hyperlink ref="K1176" r:id="rId1"/>
  </hyperlinks>
  <pageMargins left="0.75" right="0.75" top="1" bottom="1" header="0.5" footer="0.5"/>
  <pageSetup orientation="landscape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4"/>
  <sheetViews>
    <sheetView workbookViewId="0"/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53.33203125" customWidth="1"/>
  </cols>
  <sheetData>
    <row r="1" spans="1:5" x14ac:dyDescent="0.25">
      <c r="A1" s="3" t="s">
        <v>194</v>
      </c>
      <c r="B1" s="3" t="s">
        <v>5</v>
      </c>
      <c r="C1" t="s">
        <v>2</v>
      </c>
      <c r="D1" t="s">
        <v>366</v>
      </c>
      <c r="E1" t="s">
        <v>1</v>
      </c>
    </row>
    <row r="2" spans="1:5" x14ac:dyDescent="0.25">
      <c r="A2" s="3" t="s">
        <v>204</v>
      </c>
      <c r="C2" t="s">
        <v>205</v>
      </c>
    </row>
    <row r="3" spans="1:5" x14ac:dyDescent="0.25">
      <c r="A3" s="3" t="s">
        <v>435</v>
      </c>
      <c r="C3" t="s">
        <v>436</v>
      </c>
    </row>
    <row r="4" spans="1:5" x14ac:dyDescent="0.25">
      <c r="A4" s="3" t="s">
        <v>119</v>
      </c>
      <c r="C4" t="s">
        <v>446</v>
      </c>
    </row>
    <row r="5" spans="1:5" x14ac:dyDescent="0.25">
      <c r="A5" s="9" t="s">
        <v>452</v>
      </c>
      <c r="C5" s="7" t="s">
        <v>454</v>
      </c>
    </row>
    <row r="6" spans="1:5" x14ac:dyDescent="0.25">
      <c r="A6" s="9" t="s">
        <v>453</v>
      </c>
      <c r="C6" s="7" t="s">
        <v>455</v>
      </c>
    </row>
    <row r="7" spans="1:5" x14ac:dyDescent="0.25">
      <c r="A7" s="9" t="s">
        <v>197</v>
      </c>
      <c r="B7" s="9"/>
      <c r="C7" s="7" t="s">
        <v>195</v>
      </c>
      <c r="D7" s="7"/>
      <c r="E7" s="7" t="s">
        <v>234</v>
      </c>
    </row>
    <row r="8" spans="1:5" x14ac:dyDescent="0.25">
      <c r="A8" s="9" t="s">
        <v>198</v>
      </c>
      <c r="B8" s="9"/>
      <c r="C8" s="7" t="s">
        <v>196</v>
      </c>
      <c r="D8" s="7"/>
    </row>
    <row r="9" spans="1:5" x14ac:dyDescent="0.25">
      <c r="A9" s="9" t="s">
        <v>199</v>
      </c>
      <c r="B9" s="9"/>
      <c r="C9" s="7" t="s">
        <v>202</v>
      </c>
      <c r="D9" s="7"/>
    </row>
    <row r="10" spans="1:5" x14ac:dyDescent="0.25">
      <c r="A10" s="9" t="s">
        <v>239</v>
      </c>
      <c r="B10" s="9"/>
      <c r="C10" s="7" t="s">
        <v>231</v>
      </c>
      <c r="D10" s="7"/>
      <c r="E10" s="7" t="s">
        <v>235</v>
      </c>
    </row>
    <row r="11" spans="1:5" x14ac:dyDescent="0.25">
      <c r="A11" s="9" t="s">
        <v>240</v>
      </c>
      <c r="B11" s="9"/>
      <c r="C11" s="7" t="s">
        <v>232</v>
      </c>
      <c r="D11" s="7"/>
    </row>
    <row r="12" spans="1:5" x14ac:dyDescent="0.25">
      <c r="A12" s="9" t="s">
        <v>241</v>
      </c>
      <c r="B12" s="9"/>
      <c r="C12" s="7" t="s">
        <v>233</v>
      </c>
      <c r="D12" s="7"/>
    </row>
    <row r="13" spans="1:5" x14ac:dyDescent="0.25">
      <c r="A13" s="9" t="s">
        <v>469</v>
      </c>
      <c r="B13" s="9"/>
      <c r="C13" s="7" t="s">
        <v>470</v>
      </c>
      <c r="D13" s="7"/>
    </row>
    <row r="14" spans="1:5" x14ac:dyDescent="0.25">
      <c r="A14" s="9" t="s">
        <v>306</v>
      </c>
      <c r="B14" s="9"/>
      <c r="C14" s="7" t="s">
        <v>307</v>
      </c>
      <c r="D14" s="7"/>
    </row>
    <row r="15" spans="1:5" x14ac:dyDescent="0.25">
      <c r="A15" s="9" t="s">
        <v>313</v>
      </c>
      <c r="B15" s="9"/>
      <c r="C15" s="7" t="s">
        <v>486</v>
      </c>
      <c r="D15" s="7"/>
    </row>
    <row r="16" spans="1:5" x14ac:dyDescent="0.25">
      <c r="A16" s="9" t="s">
        <v>322</v>
      </c>
      <c r="B16" s="9"/>
      <c r="C16" s="7" t="s">
        <v>363</v>
      </c>
      <c r="D16" s="7"/>
    </row>
    <row r="17" spans="1:5" x14ac:dyDescent="0.25">
      <c r="A17" s="9" t="s">
        <v>463</v>
      </c>
      <c r="B17" s="9"/>
      <c r="C17" s="7" t="s">
        <v>464</v>
      </c>
      <c r="D17" s="7"/>
    </row>
    <row r="18" spans="1:5" x14ac:dyDescent="0.25">
      <c r="A18" s="9" t="s">
        <v>471</v>
      </c>
      <c r="B18" s="9"/>
      <c r="C18" s="7" t="s">
        <v>472</v>
      </c>
      <c r="D18" s="7"/>
    </row>
    <row r="19" spans="1:5" x14ac:dyDescent="0.25">
      <c r="A19" s="9" t="s">
        <v>491</v>
      </c>
      <c r="B19" s="9"/>
      <c r="C19" s="7" t="s">
        <v>492</v>
      </c>
      <c r="D19" s="7"/>
    </row>
    <row r="20" spans="1:5" x14ac:dyDescent="0.25">
      <c r="A20" s="9" t="s">
        <v>200</v>
      </c>
      <c r="B20" s="9"/>
      <c r="C20" s="7" t="s">
        <v>201</v>
      </c>
      <c r="D20" s="7"/>
      <c r="E20" s="7" t="s">
        <v>236</v>
      </c>
    </row>
    <row r="21" spans="1:5" x14ac:dyDescent="0.25">
      <c r="A21" s="9" t="s">
        <v>478</v>
      </c>
      <c r="B21" s="9"/>
      <c r="C21" s="7" t="s">
        <v>480</v>
      </c>
      <c r="D21" s="7"/>
      <c r="E21" s="7"/>
    </row>
    <row r="22" spans="1:5" x14ac:dyDescent="0.25">
      <c r="A22" s="9" t="s">
        <v>479</v>
      </c>
      <c r="B22" s="9"/>
      <c r="C22" s="7" t="s">
        <v>481</v>
      </c>
      <c r="D22" s="7"/>
      <c r="E22" s="7"/>
    </row>
    <row r="23" spans="1:5" x14ac:dyDescent="0.25">
      <c r="A23" s="9" t="s">
        <v>489</v>
      </c>
      <c r="B23" s="9"/>
      <c r="C23" s="7" t="s">
        <v>490</v>
      </c>
      <c r="D23" s="7"/>
      <c r="E23" s="7"/>
    </row>
    <row r="24" spans="1:5" x14ac:dyDescent="0.25">
      <c r="A24" s="9" t="s">
        <v>203</v>
      </c>
      <c r="B24" s="9"/>
      <c r="C24" s="7" t="s">
        <v>237</v>
      </c>
      <c r="D24" s="7"/>
      <c r="E24" s="7" t="s">
        <v>238</v>
      </c>
    </row>
    <row r="25" spans="1:5" x14ac:dyDescent="0.25">
      <c r="A25" s="9" t="s">
        <v>418</v>
      </c>
      <c r="B25" s="9"/>
      <c r="C25" s="7" t="s">
        <v>419</v>
      </c>
      <c r="D25" s="7"/>
      <c r="E25" s="7" t="s">
        <v>420</v>
      </c>
    </row>
    <row r="26" spans="1:5" x14ac:dyDescent="0.25">
      <c r="A26" s="9" t="s">
        <v>443</v>
      </c>
      <c r="B26" s="9"/>
      <c r="C26" s="7" t="s">
        <v>444</v>
      </c>
      <c r="D26" s="7"/>
      <c r="E26" s="7" t="s">
        <v>445</v>
      </c>
    </row>
    <row r="27" spans="1:5" x14ac:dyDescent="0.25">
      <c r="A27" s="3" t="s">
        <v>325</v>
      </c>
      <c r="C27" s="7" t="s">
        <v>326</v>
      </c>
      <c r="D27" s="7"/>
    </row>
    <row r="28" spans="1:5" x14ac:dyDescent="0.25">
      <c r="A28" s="3" t="s">
        <v>327</v>
      </c>
      <c r="C28" s="7" t="s">
        <v>328</v>
      </c>
      <c r="D28" s="7"/>
    </row>
    <row r="29" spans="1:5" x14ac:dyDescent="0.25">
      <c r="A29" s="3" t="s">
        <v>329</v>
      </c>
      <c r="C29" s="7" t="s">
        <v>330</v>
      </c>
      <c r="D29" s="7"/>
    </row>
    <row r="30" spans="1:5" x14ac:dyDescent="0.25">
      <c r="A30" s="3" t="s">
        <v>331</v>
      </c>
      <c r="C30" s="7" t="s">
        <v>335</v>
      </c>
      <c r="D30" s="7" t="s">
        <v>367</v>
      </c>
    </row>
    <row r="31" spans="1:5" x14ac:dyDescent="0.25">
      <c r="A31" s="3" t="s">
        <v>332</v>
      </c>
      <c r="C31" s="7" t="s">
        <v>336</v>
      </c>
      <c r="D31" s="7" t="s">
        <v>367</v>
      </c>
    </row>
    <row r="32" spans="1:5" x14ac:dyDescent="0.25">
      <c r="A32" s="3" t="s">
        <v>333</v>
      </c>
      <c r="C32" s="7" t="s">
        <v>340</v>
      </c>
      <c r="D32" s="7" t="s">
        <v>367</v>
      </c>
    </row>
    <row r="33" spans="1:5" x14ac:dyDescent="0.25">
      <c r="A33" s="3" t="s">
        <v>334</v>
      </c>
      <c r="C33" s="7" t="s">
        <v>338</v>
      </c>
      <c r="D33" s="7"/>
    </row>
    <row r="34" spans="1:5" x14ac:dyDescent="0.25">
      <c r="A34" s="3" t="s">
        <v>339</v>
      </c>
      <c r="C34" s="7" t="s">
        <v>337</v>
      </c>
      <c r="D34" s="7" t="s">
        <v>367</v>
      </c>
    </row>
    <row r="35" spans="1:5" x14ac:dyDescent="0.25">
      <c r="A35" s="3" t="s">
        <v>344</v>
      </c>
      <c r="C35" s="7" t="s">
        <v>345</v>
      </c>
      <c r="D35" s="7"/>
    </row>
    <row r="36" spans="1:5" x14ac:dyDescent="0.25">
      <c r="A36" s="3" t="s">
        <v>351</v>
      </c>
      <c r="C36" s="7" t="s">
        <v>354</v>
      </c>
      <c r="D36" s="7" t="s">
        <v>367</v>
      </c>
      <c r="E36" t="s">
        <v>355</v>
      </c>
    </row>
    <row r="37" spans="1:5" x14ac:dyDescent="0.25">
      <c r="A37" s="3" t="s">
        <v>460</v>
      </c>
      <c r="C37" s="7" t="s">
        <v>461</v>
      </c>
      <c r="D37" s="7" t="s">
        <v>367</v>
      </c>
    </row>
    <row r="38" spans="1:5" x14ac:dyDescent="0.25">
      <c r="A38" s="9" t="s">
        <v>474</v>
      </c>
      <c r="C38" s="7" t="s">
        <v>475</v>
      </c>
      <c r="D38" s="7" t="s">
        <v>367</v>
      </c>
    </row>
    <row r="39" spans="1:5" x14ac:dyDescent="0.25">
      <c r="A39" s="9" t="s">
        <v>421</v>
      </c>
      <c r="C39" s="7" t="s">
        <v>422</v>
      </c>
      <c r="D39" s="7" t="s">
        <v>367</v>
      </c>
    </row>
    <row r="40" spans="1:5" x14ac:dyDescent="0.25">
      <c r="A40" s="3" t="s">
        <v>377</v>
      </c>
      <c r="C40" s="7" t="s">
        <v>376</v>
      </c>
    </row>
    <row r="41" spans="1:5" x14ac:dyDescent="0.25">
      <c r="A41" s="3" t="s">
        <v>387</v>
      </c>
      <c r="C41" s="7" t="s">
        <v>388</v>
      </c>
    </row>
    <row r="42" spans="1:5" x14ac:dyDescent="0.25">
      <c r="A42" s="3" t="s">
        <v>378</v>
      </c>
      <c r="C42" s="7" t="s">
        <v>379</v>
      </c>
      <c r="D42" s="7" t="s">
        <v>367</v>
      </c>
    </row>
    <row r="43" spans="1:5" x14ac:dyDescent="0.25">
      <c r="A43" s="3" t="s">
        <v>380</v>
      </c>
      <c r="C43" s="7" t="s">
        <v>381</v>
      </c>
      <c r="D43" s="7" t="s">
        <v>367</v>
      </c>
    </row>
    <row r="44" spans="1:5" x14ac:dyDescent="0.25">
      <c r="A44" s="3" t="s">
        <v>385</v>
      </c>
      <c r="C44" s="7" t="s">
        <v>386</v>
      </c>
      <c r="D44" s="7" t="s">
        <v>367</v>
      </c>
    </row>
  </sheetData>
  <pageMargins left="0.7" right="0.7" top="0.75" bottom="0.75" header="0.3" footer="0.3"/>
  <pageSetup orientation="portrait" horizontalDpi="0" verticalDpi="0" r:id="rId1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A4" sqref="A4"/>
    </sheetView>
  </sheetViews>
  <sheetFormatPr defaultRowHeight="13.2" x14ac:dyDescent="0.25"/>
  <cols>
    <col min="1" max="1" width="19.5546875" bestFit="1" customWidth="1"/>
    <col min="2" max="2" width="12.21875" style="30" bestFit="1" customWidth="1"/>
    <col min="3" max="3" width="17.21875" style="33" bestFit="1" customWidth="1"/>
  </cols>
  <sheetData>
    <row r="1" spans="1:3" x14ac:dyDescent="0.25">
      <c r="A1" t="s">
        <v>496</v>
      </c>
      <c r="B1" s="30" t="s">
        <v>497</v>
      </c>
      <c r="C1" s="33" t="s">
        <v>498</v>
      </c>
    </row>
    <row r="2" spans="1:3" x14ac:dyDescent="0.25">
      <c r="A2">
        <v>1200</v>
      </c>
      <c r="B2" s="30">
        <v>41640</v>
      </c>
      <c r="C2" s="33">
        <v>16.670000000000002</v>
      </c>
    </row>
    <row r="3" spans="1:3" x14ac:dyDescent="0.25">
      <c r="A3">
        <v>1100</v>
      </c>
      <c r="B3" s="30">
        <v>41640</v>
      </c>
      <c r="C3" s="33">
        <v>50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>
      <selection activeCell="A5" sqref="A5"/>
    </sheetView>
  </sheetViews>
  <sheetFormatPr defaultRowHeight="13.2" x14ac:dyDescent="0.25"/>
  <cols>
    <col min="1" max="1" width="13.21875" bestFit="1" customWidth="1"/>
    <col min="2" max="2" width="10.33203125" style="3" bestFit="1" customWidth="1"/>
    <col min="3" max="3" width="9.109375" style="30" bestFit="1" customWidth="1"/>
    <col min="4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7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L4" s="7" t="s">
        <v>476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A9" sqref="A9"/>
    </sheetView>
  </sheetViews>
  <sheetFormatPr defaultRowHeight="13.2" x14ac:dyDescent="0.25"/>
  <cols>
    <col min="1" max="1" width="10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8" si="0">D2-C2</f>
        <v>44</v>
      </c>
      <c r="F2" s="33">
        <f t="shared" ref="F2:F8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  <row r="8" spans="1:11" x14ac:dyDescent="0.25">
      <c r="A8" s="30">
        <v>41960</v>
      </c>
      <c r="B8" s="3" t="s">
        <v>491</v>
      </c>
      <c r="C8" s="36">
        <v>161018</v>
      </c>
      <c r="D8" s="36">
        <v>161179</v>
      </c>
      <c r="E8" s="36">
        <f t="shared" si="0"/>
        <v>161</v>
      </c>
      <c r="F8" s="33">
        <f t="shared" si="1"/>
        <v>80.5</v>
      </c>
      <c r="G8" s="38" t="s">
        <v>494</v>
      </c>
    </row>
    <row r="9" spans="1:11" x14ac:dyDescent="0.25">
      <c r="A9" s="30">
        <v>41962</v>
      </c>
      <c r="B9" s="3" t="s">
        <v>491</v>
      </c>
      <c r="C9" s="36">
        <v>161174</v>
      </c>
      <c r="D9" s="36">
        <v>161335</v>
      </c>
      <c r="E9" s="36">
        <f t="shared" ref="E9" si="2">D9-C9</f>
        <v>161</v>
      </c>
      <c r="F9" s="33">
        <f t="shared" ref="F9" si="3">E9*$J$1</f>
        <v>80.5</v>
      </c>
      <c r="G9" s="38" t="s">
        <v>495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Timesheet</vt:lpstr>
      <vt:lpstr>JobNumberKey</vt:lpstr>
      <vt:lpstr>Rates</vt:lpstr>
      <vt:lpstr>Invoicing</vt:lpstr>
      <vt:lpstr>Mileage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2014-11-24T14:59:13Z</dcterms:modified>
</cp:coreProperties>
</file>