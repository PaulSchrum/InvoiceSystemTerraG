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 activeTab="1"/>
  </bookViews>
  <sheets>
    <sheet name="Timesheet" sheetId="1" r:id="rId1"/>
    <sheet name="JobNumberKey" sheetId="2" r:id="rId2"/>
    <sheet name="Rates" sheetId="3" r:id="rId3"/>
    <sheet name="Invoicing" sheetId="4" r:id="rId4"/>
    <sheet name="Mileage" sheetId="5" r:id="rId5"/>
  </sheets>
  <definedNames>
    <definedName name="_xlnm._FilterDatabase" localSheetId="0" hidden="1">Timesheet!$A$1:$K$7</definedName>
    <definedName name="Z_EEDA9955_D9DA_49F0_93C9_5D96A0B8DB56_.wvu.FilterData" localSheetId="0" hidden="1">Timesheet!$A$1:$K$7</definedName>
  </definedNames>
  <calcPr calcId="145621"/>
  <customWorkbookViews>
    <customWorkbookView name="Paul - Personal View" guid="{EEDA9955-D9DA-49F0-93C9-5D96A0B8DB56}" mergeInterval="0" personalView="1" maximized="1" windowWidth="1668" windowHeight="724" activeSheetId="4"/>
  </customWorkbookViews>
</workbook>
</file>

<file path=xl/calcChain.xml><?xml version="1.0" encoding="utf-8"?>
<calcChain xmlns="http://schemas.openxmlformats.org/spreadsheetml/2006/main">
  <c r="E1263" i="1" l="1"/>
  <c r="E1264" i="1"/>
  <c r="E1262" i="1"/>
  <c r="E1261" i="1"/>
  <c r="E1260" i="1" l="1"/>
  <c r="B1260" i="1"/>
  <c r="E1259" i="1"/>
  <c r="B1259" i="1"/>
  <c r="E1258" i="1" l="1"/>
  <c r="E1257" i="1" l="1"/>
  <c r="E1256" i="1"/>
  <c r="E9" i="5"/>
  <c r="F9" i="5" s="1"/>
  <c r="E8" i="5"/>
  <c r="F8" i="5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5"/>
  <c r="E7" i="5" s="1"/>
  <c r="F7" i="5" s="1"/>
  <c r="E6" i="5"/>
  <c r="F6" i="5" s="1"/>
  <c r="C6" i="5"/>
  <c r="F5" i="5"/>
  <c r="E5" i="5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5"/>
  <c r="F4" i="5" s="1"/>
  <c r="B1065" i="1"/>
  <c r="E1065" i="1" s="1"/>
  <c r="B1063" i="1"/>
  <c r="E1063" i="1" s="1"/>
  <c r="G2" i="4"/>
  <c r="F3" i="5"/>
  <c r="F2" i="5"/>
  <c r="E2" i="5"/>
  <c r="E3" i="5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<sst xmlns="http://schemas.openxmlformats.org/spreadsheetml/2006/main" count="1973" uniqueCount="499">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</sst>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usernames" Target="revisions/userNames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revisionHeaders" Target="revisions/revisionHeaders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86B6A8FD-9B80-41C8-A85B-6DE3FB0B6088}" diskRevisions="1" revisionId="5" version="3">
  <header guid="{050324E5-FC86-43F0-B3C3-330C5ED4AC71}" dateTime="2014-11-25T15:41:02" maxSheetId="6" userName="Paul" r:id="rId1">
    <sheetIdMap count="5">
      <sheetId val="1"/>
      <sheetId val="2"/>
      <sheetId val="3"/>
      <sheetId val="4"/>
      <sheetId val="5"/>
    </sheetIdMap>
  </header>
  <header guid="{13D7F0B8-396D-42F6-90D9-1D746392B365}" dateTime="2014-11-25T15:50:13" maxSheetId="6" userName="Paul" r:id="rId2" minRId="1" maxRId="2">
    <sheetIdMap count="5">
      <sheetId val="1"/>
      <sheetId val="2"/>
      <sheetId val="3"/>
      <sheetId val="4"/>
      <sheetId val="5"/>
    </sheetIdMap>
  </header>
  <header guid="{86B6A8FD-9B80-41C8-A85B-6DE3FB0B6088}" dateTime="2014-11-25T17:36:59" maxSheetId="6" userName="Paul" r:id="rId3" minRId="3" maxRId="5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4">
    <oc r="B3" t="inlineStr">
      <is>
        <t>1101</t>
      </is>
    </oc>
    <nc r="B3" t="inlineStr">
      <is>
        <t>1100</t>
      </is>
    </nc>
  </rcc>
  <rcc rId="2" sId="4">
    <oc r="B4" t="inlineStr">
      <is>
        <t>1102</t>
      </is>
    </oc>
    <nc r="B4" t="inlineStr">
      <is>
        <t>1100</t>
      </is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" sId="2">
    <oc r="A45" t="inlineStr">
      <is>
        <t>1300</t>
      </is>
    </oc>
    <nc r="A45"/>
  </rcc>
  <rcc rId="4" sId="2">
    <oc r="C45" t="inlineStr">
      <is>
        <t>Dummy Invoicable for Testing</t>
      </is>
    </oc>
    <nc r="C45"/>
  </rcc>
  <rcc rId="5" sId="2">
    <oc r="D45" t="inlineStr">
      <is>
        <t>y</t>
      </is>
    </oc>
    <nc r="D45"/>
  </rcc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86B6A8FD-9B80-41C8-A85B-6DE3FB0B6088}" name="Paul" id="-905716730" dateTime="2014-11-25T15:41:02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lg2014-dev.cloudapp.net/api/V5/Kiosk/Directory/DirectoryListForStation/EC75906F-B96E-4372-93C8-CF92F265279A/B/RaleighEmergencyCC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zoomScaleNormal="100" workbookViewId="0">
      <pane ySplit="2" topLeftCell="A1243" activePane="bottomLeft" state="frozenSplit"/>
      <selection pane="bottomLeft" activeCell="C1263" sqref="C1263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1118.8166666666664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0.5673611111111112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0.41736111111111113</v>
      </c>
      <c r="E1258" s="21">
        <f t="shared" ref="E1258:E1260" si="59">IF(D1258&lt;(12/1440),C1258-B1258,C1258-B1258-D1258+(12/1440))</f>
        <v>1.6666666666666663E-2</v>
      </c>
      <c r="G1258" s="9" t="s">
        <v>491</v>
      </c>
      <c r="H1258" s="9"/>
      <c r="I1258" s="7" t="s">
        <v>492</v>
      </c>
    </row>
    <row r="1259" spans="1:9" x14ac:dyDescent="0.25">
      <c r="A1259" s="20">
        <v>41967</v>
      </c>
      <c r="B1259" s="1">
        <f>C1258</f>
        <v>0.41736111111111113</v>
      </c>
      <c r="C1259" s="1">
        <v>0.44236111111111115</v>
      </c>
      <c r="E1259" s="21">
        <f t="shared" si="59"/>
        <v>2.5000000000000022E-2</v>
      </c>
      <c r="G1259" s="9" t="s">
        <v>421</v>
      </c>
      <c r="I1259" s="7" t="s">
        <v>422</v>
      </c>
    </row>
    <row r="1260" spans="1:9" x14ac:dyDescent="0.25">
      <c r="A1260" s="20">
        <v>41967</v>
      </c>
      <c r="B1260" s="1">
        <f>C1259</f>
        <v>0.44236111111111115</v>
      </c>
      <c r="C1260" s="1">
        <v>0.50555555555555554</v>
      </c>
      <c r="E1260" s="21">
        <f t="shared" si="59"/>
        <v>6.3194444444444386E-2</v>
      </c>
      <c r="G1260" s="9" t="s">
        <v>491</v>
      </c>
      <c r="H1260" s="9"/>
      <c r="I1260" s="7" t="s">
        <v>492</v>
      </c>
    </row>
    <row r="1261" spans="1:9" x14ac:dyDescent="0.25">
      <c r="A1261" s="20">
        <v>41967</v>
      </c>
      <c r="B1261" s="1">
        <v>0.53194444444444444</v>
      </c>
      <c r="C1261" s="1">
        <v>0.59305555555555556</v>
      </c>
      <c r="D1261" s="4">
        <v>1.1111111111111112E-2</v>
      </c>
      <c r="E1261" s="21">
        <f t="shared" ref="E1261:E1262" si="60">IF(D1261&lt;(12/1440),C1261-B1261,C1261-B1261-D1261+(12/1440))</f>
        <v>5.8333333333333334E-2</v>
      </c>
      <c r="G1261" s="9" t="s">
        <v>491</v>
      </c>
      <c r="H1261" s="9"/>
      <c r="I1261" s="7" t="s">
        <v>492</v>
      </c>
    </row>
    <row r="1262" spans="1:9" x14ac:dyDescent="0.25">
      <c r="A1262" s="20">
        <v>41967</v>
      </c>
      <c r="B1262" s="1">
        <v>0.60069444444444442</v>
      </c>
      <c r="C1262" s="1">
        <v>0.60625000000000007</v>
      </c>
      <c r="E1262" s="21">
        <f t="shared" si="60"/>
        <v>5.5555555555556468E-3</v>
      </c>
      <c r="G1262" s="9" t="s">
        <v>421</v>
      </c>
      <c r="I1262" s="7" t="s">
        <v>422</v>
      </c>
    </row>
    <row r="1263" spans="1:9" x14ac:dyDescent="0.25">
      <c r="A1263" s="20">
        <v>41967</v>
      </c>
      <c r="B1263" s="1">
        <v>0.65555555555555556</v>
      </c>
      <c r="C1263" s="1">
        <v>0.80694444444444446</v>
      </c>
      <c r="E1263" s="21">
        <f t="shared" ref="E1263" si="61">IF(D1263&lt;(12/1440),C1263-B1263,C1263-B1263-D1263+(12/1440))</f>
        <v>0.15138888888888891</v>
      </c>
      <c r="G1263" s="9" t="s">
        <v>491</v>
      </c>
      <c r="H1263" s="9"/>
      <c r="I1263" s="7" t="s">
        <v>492</v>
      </c>
    </row>
    <row r="1264" spans="1:9" x14ac:dyDescent="0.25">
      <c r="E1264" s="21">
        <f t="shared" ref="E1264" si="62">IF(D1264&lt;(12/1440),C1264-B1264,C1264-B1264-D1264+(12/1440))</f>
        <v>0</v>
      </c>
      <c r="G1264" s="9"/>
      <c r="H1264" s="9"/>
      <c r="I1264" s="7"/>
    </row>
    <row r="1271" spans="6:6" x14ac:dyDescent="0.25">
      <c r="F1271" s="26"/>
    </row>
    <row r="1272" spans="6:6" x14ac:dyDescent="0.25">
      <c r="F1272" s="27"/>
    </row>
    <row r="1274" spans="6:6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customSheetViews>
    <customSheetView guid="{EEDA9955-D9DA-49F0-93C9-5D96A0B8DB56}">
      <pane ySplit="2" topLeftCell="A1243" activePane="bottomLeft" state="frozenSplit"/>
      <selection pane="bottomLeft" activeCell="C1263" sqref="C1263"/>
      <pageMargins left="0.75" right="0.75" top="1" bottom="1" header="0.5" footer="0.5"/>
      <pageSetup orientation="landscape" r:id="rId1"/>
      <headerFooter alignWithMargins="0"/>
    </customSheetView>
  </customSheetViews>
  <phoneticPr fontId="0" type="noConversion"/>
  <hyperlinks>
    <hyperlink ref="K1176" r:id="rId2"/>
  </hyperlinks>
  <pageMargins left="0.75" right="0.75" top="1" bottom="1" header="0.5" footer="0.5"/>
  <pageSetup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tabSelected="1" topLeftCell="A19" workbookViewId="0">
      <selection activeCell="A45" sqref="A45:D45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  <row r="45" spans="1:5" x14ac:dyDescent="0.25">
      <c r="A45" s="9"/>
      <c r="C45" s="7"/>
      <c r="D45" s="7"/>
    </row>
  </sheetData>
  <customSheetViews>
    <customSheetView guid="{EEDA9955-D9DA-49F0-93C9-5D96A0B8DB56}" topLeftCell="A19">
      <selection activeCell="A46" sqref="A46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customSheetViews>
    <customSheetView guid="{EEDA9955-D9DA-49F0-93C9-5D96A0B8DB56}">
      <selection activeCell="A4" sqref="A4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B4" sqref="B4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K4" s="30">
        <v>41967</v>
      </c>
      <c r="L4" s="7" t="s">
        <v>476</v>
      </c>
    </row>
  </sheetData>
  <customSheetViews>
    <customSheetView guid="{EEDA9955-D9DA-49F0-93C9-5D96A0B8DB56}">
      <selection activeCell="B4" sqref="B4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customSheetViews>
    <customSheetView guid="{EEDA9955-D9DA-49F0-93C9-5D96A0B8DB56}">
      <selection activeCell="A9" sqref="A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Timesheet</vt:lpstr>
      <vt:lpstr>JobNumberKey</vt:lpstr>
      <vt:lpstr>Rates</vt:lpstr>
      <vt:lpstr>Invoicing</vt:lpstr>
      <vt:lpstr>Mileage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2014-11-25T22:37:25Z</dcterms:modified>
</cp:coreProperties>
</file>